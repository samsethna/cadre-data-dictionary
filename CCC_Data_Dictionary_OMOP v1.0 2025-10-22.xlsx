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.sharepoint.com/sites/PSYCHI_Timely/Shared Documents/Workstream 3- Data/Cambridge Data Transformation/02 Data Mapping/CCC/"/>
    </mc:Choice>
  </mc:AlternateContent>
  <xr:revisionPtr revIDLastSave="0" documentId="8_{320F5B30-AF12-4E9D-8EA7-A5A619819E75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OMOP&gt;&gt;" sheetId="4" r:id="rId1"/>
    <sheet name="Fields" sheetId="10" r:id="rId2"/>
    <sheet name="Responses" sheetId="8" r:id="rId3"/>
    <sheet name="Original&gt;&gt;" sheetId="3" r:id="rId4"/>
    <sheet name="Field Definitions" sheetId="1" r:id="rId5"/>
    <sheet name="Table Definitions" sheetId="2" r:id="rId6"/>
  </sheets>
  <definedNames>
    <definedName name="_xlnm._FilterDatabase" localSheetId="1" hidden="1">Fields!$B$2:$H$92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7" i="8" l="1" a="1"/>
  <c r="D197" i="8" s="1"/>
  <c r="D198" i="8" a="1"/>
  <c r="D198" i="8" s="1"/>
  <c r="D199" i="8" a="1"/>
  <c r="D199" i="8" s="1"/>
  <c r="D200" i="8" a="1"/>
  <c r="D200" i="8" s="1"/>
  <c r="D201" i="8" a="1"/>
  <c r="D201" i="8" s="1"/>
  <c r="D202" i="8" a="1"/>
  <c r="D202" i="8" s="1"/>
  <c r="D203" i="8" a="1"/>
  <c r="D203" i="8" s="1"/>
  <c r="D204" i="8" a="1"/>
  <c r="D204" i="8" s="1"/>
  <c r="D205" i="8" a="1"/>
  <c r="D205" i="8" s="1"/>
  <c r="D206" i="8" a="1"/>
  <c r="D206" i="8" s="1"/>
  <c r="D207" i="8" a="1"/>
  <c r="D207" i="8" s="1"/>
  <c r="D208" i="8" a="1"/>
  <c r="D208" i="8" s="1"/>
  <c r="D209" i="8" a="1"/>
  <c r="D209" i="8" s="1"/>
  <c r="D210" i="8" a="1"/>
  <c r="D210" i="8" s="1"/>
  <c r="D211" i="8" a="1"/>
  <c r="D211" i="8" s="1"/>
  <c r="D212" i="8" a="1"/>
  <c r="D212" i="8" s="1"/>
  <c r="D213" i="8" a="1"/>
  <c r="D213" i="8" s="1"/>
  <c r="D214" i="8" a="1"/>
  <c r="D214" i="8" s="1"/>
  <c r="D215" i="8" a="1"/>
  <c r="D215" i="8" s="1"/>
  <c r="D216" i="8" a="1"/>
  <c r="D216" i="8" s="1"/>
  <c r="D217" i="8" a="1"/>
  <c r="D217" i="8" s="1"/>
  <c r="D218" i="8" a="1"/>
  <c r="D218" i="8" s="1"/>
  <c r="D219" i="8" a="1"/>
  <c r="D219" i="8" s="1"/>
  <c r="D220" i="8" a="1"/>
  <c r="D220" i="8" s="1"/>
  <c r="D221" i="8" a="1"/>
  <c r="D221" i="8" s="1"/>
  <c r="D222" i="8" a="1"/>
  <c r="D222" i="8" s="1"/>
  <c r="D223" i="8" a="1"/>
  <c r="D223" i="8" s="1"/>
  <c r="D224" i="8" a="1"/>
  <c r="D224" i="8" s="1"/>
  <c r="D225" i="8" a="1"/>
  <c r="D225" i="8" s="1"/>
  <c r="D226" i="8" a="1"/>
  <c r="D226" i="8" s="1"/>
  <c r="D227" i="8" a="1"/>
  <c r="D227" i="8" s="1"/>
  <c r="D228" i="8" a="1"/>
  <c r="D228" i="8" s="1"/>
  <c r="D229" i="8" a="1"/>
  <c r="D229" i="8" s="1"/>
  <c r="D230" i="8" a="1"/>
  <c r="D230" i="8" s="1"/>
  <c r="D231" i="8" a="1"/>
  <c r="D231" i="8" s="1"/>
  <c r="D232" i="8" a="1"/>
  <c r="D232" i="8" s="1"/>
  <c r="D233" i="8" a="1"/>
  <c r="D233" i="8" s="1"/>
  <c r="D234" i="8" a="1"/>
  <c r="D234" i="8" s="1"/>
  <c r="D235" i="8" a="1"/>
  <c r="D235" i="8" s="1"/>
  <c r="D236" i="8" a="1"/>
  <c r="D236" i="8" s="1"/>
  <c r="D237" i="8" a="1"/>
  <c r="D237" i="8" s="1"/>
  <c r="D238" i="8" a="1"/>
  <c r="D238" i="8" s="1"/>
  <c r="D239" i="8" a="1"/>
  <c r="D239" i="8" s="1"/>
  <c r="D240" i="8" a="1"/>
  <c r="D240" i="8" s="1"/>
  <c r="D241" i="8" a="1"/>
  <c r="D241" i="8" s="1"/>
  <c r="D242" i="8" a="1"/>
  <c r="D242" i="8" s="1"/>
  <c r="D243" i="8" a="1"/>
  <c r="D243" i="8" s="1"/>
  <c r="D244" i="8" a="1"/>
  <c r="D244" i="8" s="1"/>
  <c r="D245" i="8" a="1"/>
  <c r="D245" i="8" s="1"/>
  <c r="D246" i="8" a="1"/>
  <c r="D246" i="8" s="1"/>
  <c r="D247" i="8" a="1"/>
  <c r="D247" i="8" s="1"/>
  <c r="D248" i="8" a="1"/>
  <c r="D248" i="8" s="1"/>
  <c r="D249" i="8" a="1"/>
  <c r="D249" i="8" s="1"/>
  <c r="D250" i="8" a="1"/>
  <c r="D250" i="8" s="1"/>
  <c r="D251" i="8" a="1"/>
  <c r="D251" i="8" s="1"/>
  <c r="D252" i="8" a="1"/>
  <c r="D252" i="8" s="1"/>
  <c r="D253" i="8" a="1"/>
  <c r="D253" i="8" s="1"/>
  <c r="D254" i="8" a="1"/>
  <c r="D254" i="8" s="1"/>
  <c r="D255" i="8" a="1"/>
  <c r="D255" i="8" s="1"/>
  <c r="D256" i="8" a="1"/>
  <c r="D256" i="8" s="1"/>
  <c r="D257" i="8" a="1"/>
  <c r="D257" i="8" s="1"/>
  <c r="D258" i="8" a="1"/>
  <c r="D258" i="8" s="1"/>
  <c r="D259" i="8" a="1"/>
  <c r="D259" i="8" s="1"/>
  <c r="D260" i="8" a="1"/>
  <c r="D260" i="8" s="1"/>
  <c r="D261" i="8" a="1"/>
  <c r="D261" i="8" s="1"/>
  <c r="D262" i="8" a="1"/>
  <c r="D262" i="8" s="1"/>
  <c r="D263" i="8" a="1"/>
  <c r="D263" i="8" s="1"/>
  <c r="D264" i="8" a="1"/>
  <c r="D264" i="8" s="1"/>
  <c r="D265" i="8" a="1"/>
  <c r="D265" i="8" s="1"/>
  <c r="D266" i="8" a="1"/>
  <c r="D266" i="8" s="1"/>
  <c r="D267" i="8" a="1"/>
  <c r="D267" i="8" s="1"/>
  <c r="D268" i="8" a="1"/>
  <c r="D268" i="8" s="1"/>
  <c r="D269" i="8" a="1"/>
  <c r="D269" i="8" s="1"/>
  <c r="D270" i="8" a="1"/>
  <c r="D270" i="8" s="1"/>
  <c r="D271" i="8" a="1"/>
  <c r="D271" i="8" s="1"/>
  <c r="D272" i="8" a="1"/>
  <c r="D272" i="8" s="1"/>
  <c r="D273" i="8" a="1"/>
  <c r="D273" i="8" s="1"/>
  <c r="D274" i="8" a="1"/>
  <c r="D274" i="8" s="1"/>
  <c r="D275" i="8" a="1"/>
  <c r="D275" i="8" s="1"/>
  <c r="D276" i="8" a="1"/>
  <c r="D276" i="8" s="1"/>
  <c r="D166" i="8" a="1"/>
  <c r="D166" i="8" s="1"/>
  <c r="D167" i="8" a="1"/>
  <c r="D167" i="8" s="1"/>
  <c r="D168" i="8" a="1"/>
  <c r="D168" i="8" s="1"/>
  <c r="D169" i="8" a="1"/>
  <c r="D169" i="8" s="1"/>
  <c r="D170" i="8" a="1"/>
  <c r="D170" i="8" s="1"/>
  <c r="D171" i="8" a="1"/>
  <c r="D171" i="8" s="1"/>
  <c r="D172" i="8" a="1"/>
  <c r="D172" i="8" s="1"/>
  <c r="D173" i="8" a="1"/>
  <c r="D173" i="8" s="1"/>
  <c r="D174" i="8" a="1"/>
  <c r="D174" i="8" s="1"/>
  <c r="D175" i="8" a="1"/>
  <c r="D175" i="8" s="1"/>
  <c r="D176" i="8" a="1"/>
  <c r="D176" i="8" s="1"/>
  <c r="D177" i="8" a="1"/>
  <c r="D177" i="8" s="1"/>
  <c r="D178" i="8" a="1"/>
  <c r="D178" i="8" s="1"/>
  <c r="D179" i="8" a="1"/>
  <c r="D179" i="8" s="1"/>
  <c r="D180" i="8" a="1"/>
  <c r="D180" i="8" s="1"/>
  <c r="D181" i="8" a="1"/>
  <c r="D181" i="8" s="1"/>
  <c r="D182" i="8" a="1"/>
  <c r="D182" i="8" s="1"/>
  <c r="D183" i="8" a="1"/>
  <c r="D183" i="8" s="1"/>
  <c r="D184" i="8" a="1"/>
  <c r="D184" i="8" s="1"/>
  <c r="D185" i="8" a="1"/>
  <c r="D185" i="8" s="1"/>
  <c r="D186" i="8" a="1"/>
  <c r="D186" i="8" s="1"/>
  <c r="D187" i="8" a="1"/>
  <c r="D187" i="8" s="1"/>
  <c r="D188" i="8" a="1"/>
  <c r="D188" i="8" s="1"/>
  <c r="D189" i="8" a="1"/>
  <c r="D189" i="8" s="1"/>
  <c r="D190" i="8" a="1"/>
  <c r="D190" i="8" s="1"/>
  <c r="D191" i="8" a="1"/>
  <c r="D191" i="8" s="1"/>
  <c r="D192" i="8" a="1"/>
  <c r="D192" i="8" s="1"/>
  <c r="D193" i="8" a="1"/>
  <c r="D193" i="8" s="1"/>
  <c r="D194" i="8" a="1"/>
  <c r="D194" i="8" s="1"/>
  <c r="D195" i="8" a="1"/>
  <c r="D195" i="8" s="1"/>
  <c r="D196" i="8" a="1"/>
  <c r="D196" i="8" s="1"/>
  <c r="D145" i="8" a="1"/>
  <c r="D145" i="8" s="1"/>
  <c r="D146" i="8" a="1"/>
  <c r="D146" i="8" s="1"/>
  <c r="D147" i="8" a="1"/>
  <c r="D147" i="8" s="1"/>
  <c r="D148" i="8" a="1"/>
  <c r="D148" i="8" s="1"/>
  <c r="D149" i="8" a="1"/>
  <c r="D149" i="8" s="1"/>
  <c r="D150" i="8" a="1"/>
  <c r="D150" i="8" s="1"/>
  <c r="D151" i="8" a="1"/>
  <c r="D151" i="8" s="1"/>
  <c r="D152" i="8" a="1"/>
  <c r="D152" i="8" s="1"/>
  <c r="D153" i="8" a="1"/>
  <c r="D153" i="8" s="1"/>
  <c r="D154" i="8" a="1"/>
  <c r="D154" i="8" s="1"/>
  <c r="D155" i="8" a="1"/>
  <c r="D155" i="8" s="1"/>
  <c r="D156" i="8" a="1"/>
  <c r="D156" i="8" s="1"/>
  <c r="D157" i="8" a="1"/>
  <c r="D157" i="8" s="1"/>
  <c r="D158" i="8" a="1"/>
  <c r="D158" i="8" s="1"/>
  <c r="D159" i="8" a="1"/>
  <c r="D159" i="8" s="1"/>
  <c r="D160" i="8" a="1"/>
  <c r="D160" i="8" s="1"/>
  <c r="D161" i="8" a="1"/>
  <c r="D161" i="8" s="1"/>
  <c r="D162" i="8" a="1"/>
  <c r="D162" i="8" s="1"/>
  <c r="D163" i="8" a="1"/>
  <c r="D163" i="8" s="1"/>
  <c r="D164" i="8" a="1"/>
  <c r="D164" i="8" s="1"/>
  <c r="D165" i="8" a="1"/>
  <c r="D165" i="8" s="1"/>
  <c r="D127" i="8" a="1"/>
  <c r="D127" i="8" s="1"/>
  <c r="D128" i="8" a="1"/>
  <c r="D128" i="8" s="1"/>
  <c r="D129" i="8" a="1"/>
  <c r="D129" i="8" s="1"/>
  <c r="D130" i="8" a="1"/>
  <c r="D130" i="8" s="1"/>
  <c r="D131" i="8" a="1"/>
  <c r="D131" i="8" s="1"/>
  <c r="D132" i="8" a="1"/>
  <c r="D132" i="8" s="1"/>
  <c r="D133" i="8" a="1"/>
  <c r="D133" i="8" s="1"/>
  <c r="D134" i="8" a="1"/>
  <c r="D134" i="8" s="1"/>
  <c r="D135" i="8" a="1"/>
  <c r="D135" i="8" s="1"/>
  <c r="D136" i="8" a="1"/>
  <c r="D136" i="8" s="1"/>
  <c r="D137" i="8" a="1"/>
  <c r="D137" i="8" s="1"/>
  <c r="D138" i="8" a="1"/>
  <c r="D138" i="8" s="1"/>
  <c r="D139" i="8" a="1"/>
  <c r="D139" i="8" s="1"/>
  <c r="D140" i="8" a="1"/>
  <c r="D140" i="8" s="1"/>
  <c r="D141" i="8" a="1"/>
  <c r="D141" i="8" s="1"/>
  <c r="D142" i="8" a="1"/>
  <c r="D142" i="8" s="1"/>
  <c r="D143" i="8" a="1"/>
  <c r="D143" i="8" s="1"/>
  <c r="D144" i="8" a="1"/>
  <c r="D144" i="8" s="1"/>
  <c r="D107" i="8" a="1"/>
  <c r="D107" i="8" s="1"/>
  <c r="D108" i="8" a="1"/>
  <c r="D108" i="8" s="1"/>
  <c r="D109" i="8" a="1"/>
  <c r="D109" i="8" s="1"/>
  <c r="D110" i="8" a="1"/>
  <c r="D110" i="8" s="1"/>
  <c r="D111" i="8" a="1"/>
  <c r="D111" i="8" s="1"/>
  <c r="D112" i="8" a="1"/>
  <c r="D112" i="8" s="1"/>
  <c r="D113" i="8" a="1"/>
  <c r="D113" i="8" s="1"/>
  <c r="D114" i="8" a="1"/>
  <c r="D114" i="8" s="1"/>
  <c r="D115" i="8" a="1"/>
  <c r="D115" i="8" s="1"/>
  <c r="D116" i="8" a="1"/>
  <c r="D116" i="8" s="1"/>
  <c r="D117" i="8" a="1"/>
  <c r="D117" i="8" s="1"/>
  <c r="D118" i="8" a="1"/>
  <c r="D118" i="8" s="1"/>
  <c r="D119" i="8" a="1"/>
  <c r="D119" i="8" s="1"/>
  <c r="D120" i="8" a="1"/>
  <c r="D120" i="8" s="1"/>
  <c r="D121" i="8" a="1"/>
  <c r="D121" i="8" s="1"/>
  <c r="D122" i="8" a="1"/>
  <c r="D122" i="8" s="1"/>
  <c r="D123" i="8" a="1"/>
  <c r="D123" i="8" s="1"/>
  <c r="D124" i="8" a="1"/>
  <c r="D124" i="8" s="1"/>
  <c r="D125" i="8" a="1"/>
  <c r="D125" i="8" s="1"/>
  <c r="D126" i="8" a="1"/>
  <c r="D126" i="8" s="1"/>
  <c r="D90" i="8" a="1"/>
  <c r="D90" i="8" s="1"/>
  <c r="D91" i="8" a="1"/>
  <c r="D91" i="8" s="1"/>
  <c r="D92" i="8" a="1"/>
  <c r="D92" i="8" s="1"/>
  <c r="D93" i="8" a="1"/>
  <c r="D93" i="8" s="1"/>
  <c r="D94" i="8" a="1"/>
  <c r="D94" i="8" s="1"/>
  <c r="D95" i="8" a="1"/>
  <c r="D95" i="8" s="1"/>
  <c r="D96" i="8" a="1"/>
  <c r="D96" i="8" s="1"/>
  <c r="D97" i="8" a="1"/>
  <c r="D97" i="8" s="1"/>
  <c r="D98" i="8" a="1"/>
  <c r="D98" i="8" s="1"/>
  <c r="D99" i="8" a="1"/>
  <c r="D99" i="8" s="1"/>
  <c r="D100" i="8" a="1"/>
  <c r="D100" i="8" s="1"/>
  <c r="D101" i="8" a="1"/>
  <c r="D101" i="8" s="1"/>
  <c r="D102" i="8" a="1"/>
  <c r="D102" i="8" s="1"/>
  <c r="D103" i="8" a="1"/>
  <c r="D103" i="8" s="1"/>
  <c r="D104" i="8" a="1"/>
  <c r="D104" i="8" s="1"/>
  <c r="D105" i="8" a="1"/>
  <c r="D105" i="8" s="1"/>
  <c r="D106" i="8" a="1"/>
  <c r="D106" i="8" s="1"/>
  <c r="D74" i="8" a="1"/>
  <c r="D74" i="8" s="1"/>
  <c r="D75" i="8" a="1"/>
  <c r="D75" i="8" s="1"/>
  <c r="D76" i="8" a="1"/>
  <c r="D76" i="8" s="1"/>
  <c r="D77" i="8" a="1"/>
  <c r="D77" i="8" s="1"/>
  <c r="D78" i="8" a="1"/>
  <c r="D78" i="8" s="1"/>
  <c r="D79" i="8" a="1"/>
  <c r="D79" i="8" s="1"/>
  <c r="D80" i="8" a="1"/>
  <c r="D80" i="8" s="1"/>
  <c r="D81" i="8" a="1"/>
  <c r="D81" i="8" s="1"/>
  <c r="D82" i="8" a="1"/>
  <c r="D82" i="8" s="1"/>
  <c r="D83" i="8" a="1"/>
  <c r="D83" i="8" s="1"/>
  <c r="D84" i="8" a="1"/>
  <c r="D84" i="8" s="1"/>
  <c r="D85" i="8" a="1"/>
  <c r="D85" i="8" s="1"/>
  <c r="D86" i="8" a="1"/>
  <c r="D86" i="8" s="1"/>
  <c r="D87" i="8" a="1"/>
  <c r="D87" i="8" s="1"/>
  <c r="D88" i="8" a="1"/>
  <c r="D88" i="8" s="1"/>
  <c r="D89" i="8" a="1"/>
  <c r="D89" i="8" s="1"/>
  <c r="D55" i="8" a="1"/>
  <c r="D55" i="8" s="1"/>
  <c r="D56" i="8" a="1"/>
  <c r="D56" i="8" s="1"/>
  <c r="D57" i="8" a="1"/>
  <c r="D57" i="8" s="1"/>
  <c r="D58" i="8" a="1"/>
  <c r="D58" i="8" s="1"/>
  <c r="D59" i="8" a="1"/>
  <c r="D59" i="8" s="1"/>
  <c r="D60" i="8" a="1"/>
  <c r="D60" i="8" s="1"/>
  <c r="D61" i="8" a="1"/>
  <c r="D61" i="8" s="1"/>
  <c r="D62" i="8" a="1"/>
  <c r="D62" i="8" s="1"/>
  <c r="D63" i="8" a="1"/>
  <c r="D63" i="8" s="1"/>
  <c r="D64" i="8" a="1"/>
  <c r="D64" i="8" s="1"/>
  <c r="D65" i="8" a="1"/>
  <c r="D65" i="8" s="1"/>
  <c r="D66" i="8" a="1"/>
  <c r="D66" i="8" s="1"/>
  <c r="D67" i="8" a="1"/>
  <c r="D67" i="8" s="1"/>
  <c r="D68" i="8" a="1"/>
  <c r="D68" i="8" s="1"/>
  <c r="D69" i="8" a="1"/>
  <c r="D69" i="8" s="1"/>
  <c r="D70" i="8" a="1"/>
  <c r="D70" i="8" s="1"/>
  <c r="D71" i="8" a="1"/>
  <c r="D71" i="8" s="1"/>
  <c r="D72" i="8" a="1"/>
  <c r="D72" i="8" s="1"/>
  <c r="D73" i="8" a="1"/>
  <c r="D73" i="8" s="1"/>
  <c r="D31" i="8" a="1"/>
  <c r="D31" i="8" s="1"/>
  <c r="D32" i="8" a="1"/>
  <c r="D32" i="8" s="1"/>
  <c r="D33" i="8" a="1"/>
  <c r="D33" i="8" s="1"/>
  <c r="D34" i="8" a="1"/>
  <c r="D34" i="8" s="1"/>
  <c r="D35" i="8" a="1"/>
  <c r="D35" i="8" s="1"/>
  <c r="D36" i="8" a="1"/>
  <c r="D36" i="8" s="1"/>
  <c r="D37" i="8" a="1"/>
  <c r="D37" i="8" s="1"/>
  <c r="D38" i="8" a="1"/>
  <c r="D38" i="8" s="1"/>
  <c r="D39" i="8" a="1"/>
  <c r="D39" i="8" s="1"/>
  <c r="D40" i="8" a="1"/>
  <c r="D40" i="8" s="1"/>
  <c r="D41" i="8" a="1"/>
  <c r="D41" i="8" s="1"/>
  <c r="D42" i="8" a="1"/>
  <c r="D42" i="8" s="1"/>
  <c r="D43" i="8" a="1"/>
  <c r="D43" i="8" s="1"/>
  <c r="D44" i="8" a="1"/>
  <c r="D44" i="8" s="1"/>
  <c r="D45" i="8" a="1"/>
  <c r="D45" i="8" s="1"/>
  <c r="D46" i="8" a="1"/>
  <c r="D46" i="8" s="1"/>
  <c r="D47" i="8" a="1"/>
  <c r="D47" i="8" s="1"/>
  <c r="D48" i="8" a="1"/>
  <c r="D48" i="8" s="1"/>
  <c r="D49" i="8" a="1"/>
  <c r="D49" i="8" s="1"/>
  <c r="D50" i="8" a="1"/>
  <c r="D50" i="8" s="1"/>
  <c r="D51" i="8" a="1"/>
  <c r="D51" i="8" s="1"/>
  <c r="D52" i="8" a="1"/>
  <c r="D52" i="8" s="1"/>
  <c r="D53" i="8" a="1"/>
  <c r="D53" i="8" s="1"/>
  <c r="D54" i="8" a="1"/>
  <c r="D54" i="8" s="1"/>
  <c r="D6" i="8" a="1"/>
  <c r="D6" i="8" s="1"/>
  <c r="D7" i="8" a="1"/>
  <c r="D7" i="8" s="1"/>
  <c r="D8" i="8" a="1"/>
  <c r="D8" i="8" s="1"/>
  <c r="D9" i="8" a="1"/>
  <c r="D9" i="8" s="1"/>
  <c r="D10" i="8" a="1"/>
  <c r="D10" i="8" s="1"/>
  <c r="D11" i="8" a="1"/>
  <c r="D11" i="8" s="1"/>
  <c r="D12" i="8" a="1"/>
  <c r="D12" i="8" s="1"/>
  <c r="D13" i="8" a="1"/>
  <c r="D13" i="8" s="1"/>
  <c r="D14" i="8" a="1"/>
  <c r="D14" i="8" s="1"/>
  <c r="D15" i="8" a="1"/>
  <c r="D15" i="8" s="1"/>
  <c r="D16" i="8" a="1"/>
  <c r="D16" i="8" s="1"/>
  <c r="D17" i="8" a="1"/>
  <c r="D17" i="8" s="1"/>
  <c r="D18" i="8" a="1"/>
  <c r="D18" i="8" s="1"/>
  <c r="D19" i="8" a="1"/>
  <c r="D19" i="8" s="1"/>
  <c r="D20" i="8" a="1"/>
  <c r="D20" i="8" s="1"/>
  <c r="D21" i="8" a="1"/>
  <c r="D21" i="8" s="1"/>
  <c r="D22" i="8" a="1"/>
  <c r="D22" i="8" s="1"/>
  <c r="D23" i="8" a="1"/>
  <c r="D23" i="8" s="1"/>
  <c r="D24" i="8" a="1"/>
  <c r="D24" i="8" s="1"/>
  <c r="D25" i="8" a="1"/>
  <c r="D25" i="8" s="1"/>
  <c r="D26" i="8" a="1"/>
  <c r="D26" i="8" s="1"/>
  <c r="D27" i="8" a="1"/>
  <c r="D27" i="8" s="1"/>
  <c r="D28" i="8" a="1"/>
  <c r="D28" i="8" s="1"/>
  <c r="D29" i="8" a="1"/>
  <c r="D29" i="8" s="1"/>
  <c r="D30" i="8" a="1"/>
  <c r="D30" i="8" s="1"/>
  <c r="D4" i="8" a="1"/>
  <c r="D4" i="8" s="1"/>
  <c r="D5" i="8" a="1"/>
  <c r="D5" i="8" s="1"/>
  <c r="D3" i="8" a="1"/>
  <c r="D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tc={96CEAF13-9150-40BB-A193-C86E79EE72CF}</author>
  </authors>
  <commentList>
    <comment ref="G45" authorId="0" shapeId="0" xr:uid="{96CEAF13-9150-40BB-A193-C86E79EE72CF}">
      <text>
        <t>[Threaded comment]
Your version of Excel allows you to read this threaded comment; however, any edits to it will get removed if the file is opened in a newer version of Excel. Learn more: https://go.microsoft.com/fwlink/?linkid=870924
Comment:
    outcome flag meaning?
Reply:
    "outcome flag" means that this variable is an indicator variable. There are several possible outcomes for a referral, and each "outcome flag" is a yes/no response, so if there is a "yes", it indicates the outcome for this particular referral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<sst xmlns="http://schemas.openxmlformats.org/spreadsheetml/2006/main" count="2291" uniqueCount="805">
  <si>
    <t>Concept ID</t>
  </si>
  <si>
    <t>Concept</t>
  </si>
  <si>
    <t>Carrot Table</t>
  </si>
  <si>
    <t>OMOP Table</t>
  </si>
  <si>
    <t>Source Field</t>
  </si>
  <si>
    <t>Description</t>
  </si>
  <si>
    <t>Source Table</t>
  </si>
  <si>
    <t>Child protection category emotional</t>
  </si>
  <si>
    <t>cp_plain_fact_1</t>
  </si>
  <si>
    <t>observation</t>
  </si>
  <si>
    <t>CP_CATEGORY_EMOTIONAL</t>
  </si>
  <si>
    <t>CP reason flag emotional</t>
  </si>
  <si>
    <t>CP_PLAIN_FACT.csv</t>
  </si>
  <si>
    <t>Child protection category neglect</t>
  </si>
  <si>
    <t>CP_CATEGORY_NEGLECT</t>
  </si>
  <si>
    <t>CP reason flag neglect</t>
  </si>
  <si>
    <t>Child protection category physical</t>
  </si>
  <si>
    <t>CP_CATEGORY_PHYSICAL</t>
  </si>
  <si>
    <t>CP reason flag physical</t>
  </si>
  <si>
    <t>Child protection category sexual</t>
  </si>
  <si>
    <t>CP_CATEGORY_SEXUAL</t>
  </si>
  <si>
    <t>CP reason flag sexual</t>
  </si>
  <si>
    <t>Child removed from protection register</t>
  </si>
  <si>
    <t>cp_plain_fact_2</t>
  </si>
  <si>
    <t>CP_END_DATE</t>
  </si>
  <si>
    <t xml:space="preserve">End date </t>
  </si>
  <si>
    <t>N/A</t>
  </si>
  <si>
    <t>CP_START_DATE</t>
  </si>
  <si>
    <t>Start date</t>
  </si>
  <si>
    <t>Social services care planning</t>
  </si>
  <si>
    <t>strat_disc</t>
  </si>
  <si>
    <t>procedure</t>
  </si>
  <si>
    <t>MEETING_DATE</t>
  </si>
  <si>
    <t>Meeting date</t>
  </si>
  <si>
    <t>STRATEGY_DISCUSSION_FACT.csv</t>
  </si>
  <si>
    <t>No further follow-up</t>
  </si>
  <si>
    <t>measurement</t>
  </si>
  <si>
    <t>STR_DIS_OUTCOME_NFA</t>
  </si>
  <si>
    <t>Outcome flag no further action</t>
  </si>
  <si>
    <t>Police investigation</t>
  </si>
  <si>
    <t>STR_DIS_OUTCOME_POLICE_INVESTIGATION</t>
  </si>
  <si>
    <t>Outcome flag police investigation</t>
  </si>
  <si>
    <t>Transfer out of area</t>
  </si>
  <si>
    <t>STR_DIS_OUTCOME_REF_OTHER_AGENCY</t>
  </si>
  <si>
    <t>Outcome flag referral to other agency</t>
  </si>
  <si>
    <t>Child protection investigation</t>
  </si>
  <si>
    <t>procedure_occurrence</t>
  </si>
  <si>
    <t>STR_DIS_OUTCOME_S47_INVESTIGATION</t>
  </si>
  <si>
    <t>Outcome flag S47 investigation</t>
  </si>
  <si>
    <t>Single assessment process</t>
  </si>
  <si>
    <t>STR_DIS_OUTCOME_SINGLE_ASSESSMENT</t>
  </si>
  <si>
    <t>Outcome flag single assessment</t>
  </si>
  <si>
    <t>single_assessment_end</t>
  </si>
  <si>
    <t>﻿ASSESSMENT_END_DATE</t>
  </si>
  <si>
    <t>Assessment end date.</t>
  </si>
  <si>
    <t>SINGLE_ASSESSMENT_FACT.csv</t>
  </si>
  <si>
    <t>single_assessment</t>
  </si>
  <si>
    <t>ASSESSMENT_START_DATE</t>
  </si>
  <si>
    <t>Assessment start date.</t>
  </si>
  <si>
    <t>Looked after child [with qualifier] request for</t>
  </si>
  <si>
    <t>single_assessment_cla</t>
  </si>
  <si>
    <t>ASSESS_OUTCOME_CLA_REQUEST</t>
  </si>
  <si>
    <t>Outcome flag CLA (looked after child) request</t>
  </si>
  <si>
    <t>Legal proceedings</t>
  </si>
  <si>
    <t>ASSESS_OUTCOME_LEGAL_ACTION</t>
  </si>
  <si>
    <t>Outcome flag legal action</t>
  </si>
  <si>
    <t>ASSESS_OUTCOME_NFA</t>
  </si>
  <si>
    <t>ASSESS_OUTCOME_SFA_S47_END</t>
  </si>
  <si>
    <t>Outcome flag end S47</t>
  </si>
  <si>
    <t>Child in private foster care</t>
  </si>
  <si>
    <t>ASSESS_OUTCOME_PRIV_FOSTERING</t>
  </si>
  <si>
    <t>Outcome flag private fostering</t>
  </si>
  <si>
    <t>Social services</t>
  </si>
  <si>
    <t>ASSESS_OUTCOME_PROVISION_OF_SERVICE</t>
  </si>
  <si>
    <t>Outcome flag provision of service</t>
  </si>
  <si>
    <t>Respite care of patient</t>
  </si>
  <si>
    <t>ASSESS_OUTCOME_PROV_SB_CARE</t>
  </si>
  <si>
    <t>Outcome flag provision of short break care</t>
  </si>
  <si>
    <t>Referral to [with qualifier] Agency</t>
  </si>
  <si>
    <t>ASSESS_OUTCOME_REF_OTHER_AGENCY</t>
  </si>
  <si>
    <t>Social services specialist assessment</t>
  </si>
  <si>
    <t>ASSESS_OUTCOME_SPECIALIST_ASSESS</t>
  </si>
  <si>
    <t>Outcome flag specialist assessment</t>
  </si>
  <si>
    <t>Discussion</t>
  </si>
  <si>
    <t>ASSESS_OUTCOME_STRATEGY_DISCUSSION</t>
  </si>
  <si>
    <t>Outcome flag strategy discussion</t>
  </si>
  <si>
    <t>Map as the provider associated with the assessment</t>
  </si>
  <si>
    <t>single_assessment_provider</t>
  </si>
  <si>
    <t>provider</t>
  </si>
  <si>
    <t>COMPLETED_BY_DEPT_NAME</t>
  </si>
  <si>
    <t>Completed by department</t>
  </si>
  <si>
    <t>Advice given</t>
  </si>
  <si>
    <t>contact</t>
  </si>
  <si>
    <t>﻿CNT_OUTCOME_ADVICE</t>
  </si>
  <si>
    <t>Outcome flag advice</t>
  </si>
  <si>
    <t>CONTACT_FACT.csv</t>
  </si>
  <si>
    <t>CP investigation</t>
  </si>
  <si>
    <t>CNT_OUTCOME_CP_ENQUIRY</t>
  </si>
  <si>
    <t>Outcome flag CP (protected child) enquiry</t>
  </si>
  <si>
    <t>Information dissemination and exchange</t>
  </si>
  <si>
    <t>CP_OUTCOME_EXISTING_REFERRAL</t>
  </si>
  <si>
    <t>Outcome flag existing referral</t>
  </si>
  <si>
    <t>Missing child/infant</t>
  </si>
  <si>
    <t>CNT_OUTCOME_MISSING</t>
  </si>
  <si>
    <t>Outcome flag missing</t>
  </si>
  <si>
    <t>Patient referral</t>
  </si>
  <si>
    <t>CNT_OUTCOME_NEW_REFERRAL</t>
  </si>
  <si>
    <t>Outcome flag new referral</t>
  </si>
  <si>
    <t>CNT_OUTCOME_NFA</t>
  </si>
  <si>
    <t>Adoption</t>
  </si>
  <si>
    <t>CNT_OUTCOME_NON_AGENCY_ADOPTION</t>
  </si>
  <si>
    <t>Outcome flag non-agency adoption</t>
  </si>
  <si>
    <t>Liasing with agency</t>
  </si>
  <si>
    <t>CNT_OUTCOME_OTHER_LOCAL_AUTH_CP</t>
  </si>
  <si>
    <t>Outcome flag other local authority</t>
  </si>
  <si>
    <t>CNT_OUTCOME_PRIVATE_FOSTERING</t>
  </si>
  <si>
    <t>CONTACT_DATE</t>
  </si>
  <si>
    <t>Date of contact</t>
  </si>
  <si>
    <t>Map directly to response</t>
  </si>
  <si>
    <t>CONTACT_SOURCE</t>
  </si>
  <si>
    <t>Source of contact</t>
  </si>
  <si>
    <t>Map as the provider associated with the procedure</t>
  </si>
  <si>
    <t>contact_provider</t>
  </si>
  <si>
    <t>DEPARTMENT</t>
  </si>
  <si>
    <t>Department</t>
  </si>
  <si>
    <t>referral</t>
  </si>
  <si>
    <t>﻿CONTACT_SOURCE</t>
  </si>
  <si>
    <t>Source of referral</t>
  </si>
  <si>
    <t>REFERRAL_FACT.csv</t>
  </si>
  <si>
    <t>referral_end</t>
  </si>
  <si>
    <t>REFERRAL_END_DATE</t>
  </si>
  <si>
    <t>Referral end date</t>
  </si>
  <si>
    <t>REFERRAL_END_REASON</t>
  </si>
  <si>
    <t>Reason for referral end</t>
  </si>
  <si>
    <t>Social care</t>
  </si>
  <si>
    <t>REFERRAL_START_DATE</t>
  </si>
  <si>
    <t>Referral start date</t>
  </si>
  <si>
    <t>referral_provider</t>
  </si>
  <si>
    <t>REFERRAL_TO_TEAM</t>
  </si>
  <si>
    <t>Team to which referral was made</t>
  </si>
  <si>
    <t>Aging out of youth care system</t>
  </si>
  <si>
    <t>REF_OUTCOME_CARE_LEAVER</t>
  </si>
  <si>
    <t>Outcome flag care leaver</t>
  </si>
  <si>
    <t>Looked after child</t>
  </si>
  <si>
    <t>REF_OUTCOME_CLA</t>
  </si>
  <si>
    <t>Outcome flag CLA (looked after child)</t>
  </si>
  <si>
    <t>Child protection case conference</t>
  </si>
  <si>
    <t>REF_OUTCOME_CP_CONFERENCE</t>
  </si>
  <si>
    <t xml:space="preserve">Outcome flag CP (protected child) conference </t>
  </si>
  <si>
    <t>Referred by outside establishment</t>
  </si>
  <si>
    <t>REF_OUTCOME_CP_TRANSFER_IN</t>
  </si>
  <si>
    <t xml:space="preserve">Outcome flag CP (protected child) transfer in </t>
  </si>
  <si>
    <t>REF_OUTCOME_NFA</t>
  </si>
  <si>
    <t>REF_OUTCOME_NON_AGENCY_ADDOPTION</t>
  </si>
  <si>
    <t>REF_OUTCOME_PRIVATE_FOSTERING</t>
  </si>
  <si>
    <t>REF_OUTCOME_SINGLE_ASSESSMENT</t>
  </si>
  <si>
    <t>REF_OUTCOME_STRATEGY_DISCUSSION</t>
  </si>
  <si>
    <t>cla</t>
  </si>
  <si>
    <t>﻿CATEGORY_OF_NEED</t>
  </si>
  <si>
    <t>Category of need code</t>
  </si>
  <si>
    <t>CLA_FACT.csv</t>
  </si>
  <si>
    <t>cla_end</t>
  </si>
  <si>
    <t>CLA_CEASED_REASON</t>
  </si>
  <si>
    <t>Reason CLA status ceased</t>
  </si>
  <si>
    <t>DATE_BECAME_LOOKED_AFTER</t>
  </si>
  <si>
    <t>Date became looked after</t>
  </si>
  <si>
    <t>No longer subject of looked after child arrangement</t>
  </si>
  <si>
    <t>DATE_CEASED_LOOKED_AFTER</t>
  </si>
  <si>
    <t>Date looked after status ceased</t>
  </si>
  <si>
    <t>Legal status</t>
  </si>
  <si>
    <t>LEGAL_STATUS</t>
  </si>
  <si>
    <t>early_help</t>
  </si>
  <si>
    <t>﻿CONTACT_DATE</t>
  </si>
  <si>
    <t>EARLY_HELP_CONTACT_FACT.csv</t>
  </si>
  <si>
    <t xml:space="preserve">Source of contact </t>
  </si>
  <si>
    <t>early_help_provider</t>
  </si>
  <si>
    <t>Department providing EH</t>
  </si>
  <si>
    <t>EHCNT_OUTCOME_EHCP</t>
  </si>
  <si>
    <t xml:space="preserve">Outcome flag early help </t>
  </si>
  <si>
    <t>EHCNT_OUTCOME_MASH</t>
  </si>
  <si>
    <t>Outcome flag multi agency safeguarding</t>
  </si>
  <si>
    <t>EHCNT_OUTCOME_NFA</t>
  </si>
  <si>
    <t>assessment_form_provider</t>
  </si>
  <si>
    <t>COMPLETE_BY_DEPARTMENT</t>
  </si>
  <si>
    <t>ASSESSMENT_FORM_FACT.csv</t>
  </si>
  <si>
    <t>Framework for the Assessment of Children in Need and their Families</t>
  </si>
  <si>
    <t>assessment_form</t>
  </si>
  <si>
    <t>FORM_DESCRIPTION</t>
  </si>
  <si>
    <t>Description of form</t>
  </si>
  <si>
    <t>survey_conduct</t>
  </si>
  <si>
    <t>QUESTION</t>
  </si>
  <si>
    <t>Question text</t>
  </si>
  <si>
    <t>Address type</t>
  </si>
  <si>
    <t>address</t>
  </si>
  <si>
    <t>ADDRESS_TYPE</t>
  </si>
  <si>
    <t>ADDRESS_HIST_DIM.csv</t>
  </si>
  <si>
    <t>Store in location:county</t>
  </si>
  <si>
    <t>location</t>
  </si>
  <si>
    <t>LSOA</t>
  </si>
  <si>
    <t>Local super output area code</t>
  </si>
  <si>
    <t>Disability type</t>
  </si>
  <si>
    <t>disability</t>
  </si>
  <si>
    <t>DISABILITY_DESCRIPTION</t>
  </si>
  <si>
    <t>Disability description</t>
  </si>
  <si>
    <t>DISBAILITY_FACT.csv</t>
  </si>
  <si>
    <t>disability_end</t>
  </si>
  <si>
    <t>DIS_END_DATE</t>
  </si>
  <si>
    <t>Disability end date</t>
  </si>
  <si>
    <t>DIS_START_DATE</t>
  </si>
  <si>
    <t>Disability start date</t>
  </si>
  <si>
    <t>Health conditions</t>
  </si>
  <si>
    <t>HEALTH_CONDITION</t>
  </si>
  <si>
    <t>Specific health condition diagnosis</t>
  </si>
  <si>
    <t>Language</t>
  </si>
  <si>
    <t>person_2</t>
  </si>
  <si>
    <t>LANGUAGE_DESC</t>
  </si>
  <si>
    <t>Language description</t>
  </si>
  <si>
    <t>LANGUAGE_FACT.csv</t>
  </si>
  <si>
    <t>Language.primary</t>
  </si>
  <si>
    <t>PRIMARY_LANGUAGE</t>
  </si>
  <si>
    <t>Primary language.</t>
  </si>
  <si>
    <t>death</t>
  </si>
  <si>
    <t>﻿DATE OF DEATH</t>
  </si>
  <si>
    <t>Date of death</t>
  </si>
  <si>
    <t>PERSON_DIM.csv</t>
  </si>
  <si>
    <t>person</t>
  </si>
  <si>
    <t>DOB</t>
  </si>
  <si>
    <t>Date of birth</t>
  </si>
  <si>
    <t>ETHNICITY_DESCRIPTION</t>
  </si>
  <si>
    <t>Ethnicity description</t>
  </si>
  <si>
    <t>The Basics: Gender</t>
  </si>
  <si>
    <t>GENDER</t>
  </si>
  <si>
    <t>Gender</t>
  </si>
  <si>
    <t>Disability</t>
  </si>
  <si>
    <t>IS_DISABLED</t>
  </si>
  <si>
    <t>Disability flag.</t>
  </si>
  <si>
    <t>Country of birth</t>
  </si>
  <si>
    <t>NATIONALITY_DESCRIPTION</t>
  </si>
  <si>
    <t>Nationality description</t>
  </si>
  <si>
    <t>Religious affiliation</t>
  </si>
  <si>
    <t>RELIGION_DESCRIPTION</t>
  </si>
  <si>
    <t>Religion description</t>
  </si>
  <si>
    <t>s47_enquiry_end</t>
  </si>
  <si>
    <t>S47_ENQ_END_DATE</t>
  </si>
  <si>
    <t>Enquiry end date</t>
  </si>
  <si>
    <t>S47_ENQUIRY_FACT.csv</t>
  </si>
  <si>
    <t>s47_enquiry</t>
  </si>
  <si>
    <t>S47_ENQ_OUTCOME_CP_CONFERENCE</t>
  </si>
  <si>
    <t>S47_ENQ_OUTCOME_LEGAL_ACTION</t>
  </si>
  <si>
    <t>S47_ENQ_OUTCOME_NFA</t>
  </si>
  <si>
    <t>S47_ENQ_OUTCOME_PROV_OF_SHORT_BREAK_CARE</t>
  </si>
  <si>
    <t xml:space="preserve">Outcome flag provision of short break care </t>
  </si>
  <si>
    <t>S47_ENQ_OUTCOME_PROV_OF_SVCS</t>
  </si>
  <si>
    <t>Outcome flag provision of services</t>
  </si>
  <si>
    <t>S47_ENQ_START_DATE</t>
  </si>
  <si>
    <t>Enquiry start date</t>
  </si>
  <si>
    <t>child_in_need</t>
  </si>
  <si>
    <t xml:space="preserve">﻿CATEGORY_OF_NEED </t>
  </si>
  <si>
    <t>CATEGORY_OF_NEED_FACT.csv</t>
  </si>
  <si>
    <t>Child no longer in need</t>
  </si>
  <si>
    <t>need_end</t>
  </si>
  <si>
    <t>NEED_END_DATE</t>
  </si>
  <si>
    <t>Need status end date</t>
  </si>
  <si>
    <t>NEED_START_DATE</t>
  </si>
  <si>
    <t>Need status start date</t>
  </si>
  <si>
    <t>Mapping</t>
  </si>
  <si>
    <t>Table</t>
  </si>
  <si>
    <t>Variable</t>
  </si>
  <si>
    <t>Response</t>
  </si>
  <si>
    <t>Primary</t>
  </si>
  <si>
    <t>Current</t>
  </si>
  <si>
    <t>Alternative</t>
  </si>
  <si>
    <t>Placement</t>
  </si>
  <si>
    <t>Short Break Placement</t>
  </si>
  <si>
    <t>General-Neglect or Abuse Suspected</t>
  </si>
  <si>
    <t>N1 - Abuse or neglect</t>
  </si>
  <si>
    <t>N2 - Disability</t>
  </si>
  <si>
    <t>Family illness</t>
  </si>
  <si>
    <t>N3 - Parental Illness</t>
  </si>
  <si>
    <t>Family distress</t>
  </si>
  <si>
    <t>N4 - Family in Acute Stress</t>
  </si>
  <si>
    <t>Family problems</t>
  </si>
  <si>
    <t>N5 - Family Disfunction</t>
  </si>
  <si>
    <t>Antisocial behavior</t>
  </si>
  <si>
    <t>N6 - Soc unacc behaviour</t>
  </si>
  <si>
    <t>Low income</t>
  </si>
  <si>
    <t>N7 - Low income</t>
  </si>
  <si>
    <t>Impaired parenting</t>
  </si>
  <si>
    <t>N8 - Absent parenting</t>
  </si>
  <si>
    <t>Other Reason</t>
  </si>
  <si>
    <t>N9 - Cases other than children in need</t>
  </si>
  <si>
    <t>Refugee</t>
  </si>
  <si>
    <t>U8 - Unaccompanied Asylum Seeking Child (UASC)</t>
  </si>
  <si>
    <t>Adopted</t>
  </si>
  <si>
    <t>E11 - Adopted - application unopposed</t>
  </si>
  <si>
    <t>E12 - Adopted, consent dispensed with</t>
  </si>
  <si>
    <t>Lives with parents</t>
  </si>
  <si>
    <t>E13 - Left care to live with parents, relatives, or other person with no parental responsibility</t>
  </si>
  <si>
    <t>Died</t>
  </si>
  <si>
    <t>E2 - Died</t>
  </si>
  <si>
    <t>E4 - Returned home to live with parents (no order)</t>
  </si>
  <si>
    <t>Returned home</t>
  </si>
  <si>
    <t>E41 - Returned home - Child Arrangement order</t>
  </si>
  <si>
    <t>Child in foster care</t>
  </si>
  <si>
    <t>E43 - Special guardianship order made to former foster carers</t>
  </si>
  <si>
    <t>Living with caregiver</t>
  </si>
  <si>
    <t>E44 - Special guardianship order made to carers other than former foster carers</t>
  </si>
  <si>
    <t>E4A - Planned return home to live with parents (no order)</t>
  </si>
  <si>
    <t>E4B - Unplanned return home to live with parents (no order)</t>
  </si>
  <si>
    <t>E8 - CLA ceased for any other reason</t>
  </si>
  <si>
    <t>New episode</t>
  </si>
  <si>
    <t>X1 - New Episode</t>
  </si>
  <si>
    <t>Subject to interim care order under Children Act 1989</t>
  </si>
  <si>
    <t>CLA - C1 - Interim Care Order</t>
  </si>
  <si>
    <t>Subject to care order under Children Act 1989</t>
  </si>
  <si>
    <t>CLA - C2 - Full Care Order</t>
  </si>
  <si>
    <t>Child given for adoption</t>
  </si>
  <si>
    <t>CLA - E1 - Placement order granted</t>
  </si>
  <si>
    <t>Child in police protection</t>
  </si>
  <si>
    <t>CLA - L1 - Under police protection, in local authority accommodation</t>
  </si>
  <si>
    <t>Provision of accommodation under section 20 of Children Act 1989</t>
  </si>
  <si>
    <t>CLA - V2 - Single period of accommodation under Section 20</t>
  </si>
  <si>
    <t>Provision of accommodation under section 20 of Children Act 1989 with [qualifier] Respite care service</t>
  </si>
  <si>
    <t>CLA - V4 - Accommodated with breaks (no care episodes recorded)</t>
  </si>
  <si>
    <t>Liaising with family</t>
  </si>
  <si>
    <t>1A - Individual - Family member/relative/carer</t>
  </si>
  <si>
    <t>Liaising with education service</t>
  </si>
  <si>
    <t>2A - Schools</t>
  </si>
  <si>
    <t>2B - Education Services</t>
  </si>
  <si>
    <t>Liaising with physician</t>
  </si>
  <si>
    <t>3A - Health services - GP</t>
  </si>
  <si>
    <t>Liaising with healthcare provider</t>
  </si>
  <si>
    <t>3D - Health services - Other primary health services</t>
  </si>
  <si>
    <t>Liaising with [modifier] Emergency services</t>
  </si>
  <si>
    <t>3E - Health services - A&amp;E (Emergency Department)</t>
  </si>
  <si>
    <t>3F - Health services - Other (e.g. hospice)</t>
  </si>
  <si>
    <t>Liaising with social worker</t>
  </si>
  <si>
    <t>5A - LA services - Social care e.g. adults social care</t>
  </si>
  <si>
    <t>Liaising with agency</t>
  </si>
  <si>
    <t>5B - LA services - Other internal (department other than social care in LA e.g. youth offending (excluding housing))</t>
  </si>
  <si>
    <t>5C - LA services - External e.g. from another LAs adult social care</t>
  </si>
  <si>
    <t>Liaising with police regarding subject</t>
  </si>
  <si>
    <t>6 - Police</t>
  </si>
  <si>
    <t>Liaising with legal service</t>
  </si>
  <si>
    <t>7 - Other legal agency - including courts, probation, immigration, CAFCASS, prison</t>
  </si>
  <si>
    <t>8 - Other - Including children's centres, independent agency providers, voluntary organisations</t>
  </si>
  <si>
    <t>Liaising with</t>
  </si>
  <si>
    <t>9 - Anonymous</t>
  </si>
  <si>
    <t>Behavioral disability</t>
  </si>
  <si>
    <t>Behaviour</t>
  </si>
  <si>
    <t>Communication disorder</t>
  </si>
  <si>
    <t>Communication</t>
  </si>
  <si>
    <t>Autism, Asperger's or autistic spectrum disorder</t>
  </si>
  <si>
    <t>Diagnosed with Autism or Asperger's syndrome</t>
  </si>
  <si>
    <t>Other category</t>
  </si>
  <si>
    <t>Disabled under DDA but not in the other categories</t>
  </si>
  <si>
    <t>Feeding disability</t>
  </si>
  <si>
    <t>Eating &amp; Drinking</t>
  </si>
  <si>
    <t>Hand function disability</t>
  </si>
  <si>
    <t>Hand function</t>
  </si>
  <si>
    <t>Hearing disability</t>
  </si>
  <si>
    <t>Hearing</t>
  </si>
  <si>
    <t>Incontinence</t>
  </si>
  <si>
    <t>Learning disability - specialty</t>
  </si>
  <si>
    <t>Learning</t>
  </si>
  <si>
    <t>Physical disability</t>
  </si>
  <si>
    <t>Mobility</t>
  </si>
  <si>
    <t>Other Disability/Health Problem</t>
  </si>
  <si>
    <t>Personal care disability</t>
  </si>
  <si>
    <t>Personal care</t>
  </si>
  <si>
    <t>Visual disability</t>
  </si>
  <si>
    <t>Vision</t>
  </si>
  <si>
    <t>Attention deficit disorder/Attention deficit hyperactivity disorder (ADD/ADHD)</t>
  </si>
  <si>
    <t>ADD/ADHD</t>
  </si>
  <si>
    <t>Asperger's disorder</t>
  </si>
  <si>
    <t>Aspergers</t>
  </si>
  <si>
    <t>Asthma</t>
  </si>
  <si>
    <t>Autism</t>
  </si>
  <si>
    <t>Birth defects</t>
  </si>
  <si>
    <t>Birth Defect</t>
  </si>
  <si>
    <t>CHARGE syndrome</t>
  </si>
  <si>
    <t>c.h.a.r.g.e. Syndrome</t>
  </si>
  <si>
    <t>Cerebral palsy</t>
  </si>
  <si>
    <t>Cerebral Palsy</t>
  </si>
  <si>
    <t>Depression</t>
  </si>
  <si>
    <t>Developmental delay</t>
  </si>
  <si>
    <t>Developmental Delay</t>
  </si>
  <si>
    <t>Diabetes</t>
  </si>
  <si>
    <t>Down syndrome</t>
  </si>
  <si>
    <t>Downs Syndrome</t>
  </si>
  <si>
    <t>Dyslexia</t>
  </si>
  <si>
    <t>Dyspraxia</t>
  </si>
  <si>
    <t>Epilepsy</t>
  </si>
  <si>
    <t>Fetal alcohol syndrome</t>
  </si>
  <si>
    <t>Foetal Alcohol Syndrome</t>
  </si>
  <si>
    <t>Global developmental delay</t>
  </si>
  <si>
    <t>Global Delay</t>
  </si>
  <si>
    <t>Chronic mucoid otitis media</t>
  </si>
  <si>
    <t>Glue Ear</t>
  </si>
  <si>
    <t>Obsessive Compulsive Disorder</t>
  </si>
  <si>
    <t>Spina bifida</t>
  </si>
  <si>
    <t>Spina Bifidia</t>
  </si>
  <si>
    <t>Tourette's syndrome</t>
  </si>
  <si>
    <t>Tourette's Syndrome</t>
  </si>
  <si>
    <t>Double Y syndrome</t>
  </si>
  <si>
    <t>XYY Syndrome</t>
  </si>
  <si>
    <t>Unknown Source</t>
  </si>
  <si>
    <t>10 - Unknown</t>
  </si>
  <si>
    <t>Liaising with patient</t>
  </si>
  <si>
    <t>1C - individual - Self</t>
  </si>
  <si>
    <t>2C - Early Years</t>
  </si>
  <si>
    <t>2D - Children's Centres</t>
  </si>
  <si>
    <t>2E - Primary School</t>
  </si>
  <si>
    <t>2F - Secondary School</t>
  </si>
  <si>
    <t>3B - Health services - Health Visitor</t>
  </si>
  <si>
    <t>Liaison with school nurse</t>
  </si>
  <si>
    <t>3C - Health services - School Nurse</t>
  </si>
  <si>
    <t>3G - Health services - CAMH</t>
  </si>
  <si>
    <t>3H - Health services - Comm Paeds</t>
  </si>
  <si>
    <t>Liaison with midwife</t>
  </si>
  <si>
    <t>3J - Health services - Midwife</t>
  </si>
  <si>
    <t>3K - DAAT</t>
  </si>
  <si>
    <t>Liaising with housing service</t>
  </si>
  <si>
    <t>4 - Housing (LA housing or housing association)</t>
  </si>
  <si>
    <t>4B - DC - non Housing</t>
  </si>
  <si>
    <t>5 - District Cambs City</t>
  </si>
  <si>
    <t>5 - District East Cambs</t>
  </si>
  <si>
    <t>5 - District Hun/St Ives</t>
  </si>
  <si>
    <t>5 - District RST/St Neots</t>
  </si>
  <si>
    <t>5 - District South Cambs</t>
  </si>
  <si>
    <t>5 - District Wisbech</t>
  </si>
  <si>
    <t>5B - Adult Services</t>
  </si>
  <si>
    <t>Liaising with multidisciplinary team</t>
  </si>
  <si>
    <t>5D - MASH - Green</t>
  </si>
  <si>
    <t>Health services - Adult Mental Health</t>
  </si>
  <si>
    <t>Liaising with [modifier] Employee assistance program</t>
  </si>
  <si>
    <t>Jobcentre Plus</t>
  </si>
  <si>
    <t>English</t>
  </si>
  <si>
    <t>African</t>
  </si>
  <si>
    <t>Bangladeshi</t>
  </si>
  <si>
    <t>Chinese</t>
  </si>
  <si>
    <t>Pakistani</t>
  </si>
  <si>
    <t>FEMALE</t>
  </si>
  <si>
    <t>Female</t>
  </si>
  <si>
    <t>Indeterminate sex</t>
  </si>
  <si>
    <t>Indeterminate</t>
  </si>
  <si>
    <t>MALE</t>
  </si>
  <si>
    <t>Male</t>
  </si>
  <si>
    <t>-</t>
  </si>
  <si>
    <t>do not map</t>
  </si>
  <si>
    <t>Unborn</t>
  </si>
  <si>
    <t>Afghanistan</t>
  </si>
  <si>
    <t>Afghan</t>
  </si>
  <si>
    <t>Albania</t>
  </si>
  <si>
    <t>Albanian</t>
  </si>
  <si>
    <t>Algeria</t>
  </si>
  <si>
    <t>Algerian</t>
  </si>
  <si>
    <t>United States of America</t>
  </si>
  <si>
    <t>American</t>
  </si>
  <si>
    <t>Angola</t>
  </si>
  <si>
    <t>Angolan</t>
  </si>
  <si>
    <t>Argentina</t>
  </si>
  <si>
    <t>Argentinian</t>
  </si>
  <si>
    <t>Australia</t>
  </si>
  <si>
    <t>Australian</t>
  </si>
  <si>
    <t>Austria</t>
  </si>
  <si>
    <t>Austrian</t>
  </si>
  <si>
    <t>Bangladesh</t>
  </si>
  <si>
    <t>Belgium</t>
  </si>
  <si>
    <t>Belgian</t>
  </si>
  <si>
    <t>Brazil</t>
  </si>
  <si>
    <t>Brazilian</t>
  </si>
  <si>
    <t>United Kingdom</t>
  </si>
  <si>
    <t>British</t>
  </si>
  <si>
    <t>Bulgaria</t>
  </si>
  <si>
    <t>Bulgarian</t>
  </si>
  <si>
    <t>Canada</t>
  </si>
  <si>
    <t>Canadian</t>
  </si>
  <si>
    <t>Chile</t>
  </si>
  <si>
    <t>Chilean</t>
  </si>
  <si>
    <t>China</t>
  </si>
  <si>
    <t>Republic of the Congo</t>
  </si>
  <si>
    <t>Congolese</t>
  </si>
  <si>
    <t>Cuba</t>
  </si>
  <si>
    <t>Cuban</t>
  </si>
  <si>
    <t>Cyprus</t>
  </si>
  <si>
    <t>Cypriot</t>
  </si>
  <si>
    <t>Czech republic</t>
  </si>
  <si>
    <t>Czech</t>
  </si>
  <si>
    <t>Denmark</t>
  </si>
  <si>
    <t>Danish</t>
  </si>
  <si>
    <t>Netherlands</t>
  </si>
  <si>
    <t>Dutch</t>
  </si>
  <si>
    <t>Egypt</t>
  </si>
  <si>
    <t>Egyptian</t>
  </si>
  <si>
    <t>England</t>
  </si>
  <si>
    <t>Eritrea</t>
  </si>
  <si>
    <t>Eritrean</t>
  </si>
  <si>
    <t>Estonia</t>
  </si>
  <si>
    <t>Estonian</t>
  </si>
  <si>
    <t>Ethiopia</t>
  </si>
  <si>
    <t>Ethiopean</t>
  </si>
  <si>
    <t>Fiji</t>
  </si>
  <si>
    <t>Fijian</t>
  </si>
  <si>
    <t>Finland</t>
  </si>
  <si>
    <t>Finnish</t>
  </si>
  <si>
    <t>France</t>
  </si>
  <si>
    <t>French</t>
  </si>
  <si>
    <t>Georgia</t>
  </si>
  <si>
    <t>Georgian</t>
  </si>
  <si>
    <t>Germany</t>
  </si>
  <si>
    <t>German</t>
  </si>
  <si>
    <t>Greece</t>
  </si>
  <si>
    <t>Greek</t>
  </si>
  <si>
    <t>Hungary</t>
  </si>
  <si>
    <t>Hungarian</t>
  </si>
  <si>
    <t>Iceland</t>
  </si>
  <si>
    <t>Icelandic</t>
  </si>
  <si>
    <t>India</t>
  </si>
  <si>
    <t>Indian</t>
  </si>
  <si>
    <t>Indonesia</t>
  </si>
  <si>
    <t>Indonesian</t>
  </si>
  <si>
    <t>Islamic Republic of Iran</t>
  </si>
  <si>
    <t>Iranian</t>
  </si>
  <si>
    <t>Iraq</t>
  </si>
  <si>
    <t>Iraqi</t>
  </si>
  <si>
    <t>Ireland</t>
  </si>
  <si>
    <t>Irish</t>
  </si>
  <si>
    <t>Israel</t>
  </si>
  <si>
    <t>Israeli</t>
  </si>
  <si>
    <t>Italy</t>
  </si>
  <si>
    <t>Italian</t>
  </si>
  <si>
    <t>Jamaica</t>
  </si>
  <si>
    <t>Jamaican</t>
  </si>
  <si>
    <t>Japan</t>
  </si>
  <si>
    <t>Japanese</t>
  </si>
  <si>
    <t>Kenya</t>
  </si>
  <si>
    <t>Kenyan</t>
  </si>
  <si>
    <t>South Korea</t>
  </si>
  <si>
    <t>Korean</t>
  </si>
  <si>
    <t>Born in Kosovo</t>
  </si>
  <si>
    <t>Kosovan</t>
  </si>
  <si>
    <t>Kuwait</t>
  </si>
  <si>
    <t>Kuwaiti</t>
  </si>
  <si>
    <t>Latvia</t>
  </si>
  <si>
    <t>Latvian</t>
  </si>
  <si>
    <t>Libya</t>
  </si>
  <si>
    <t>Libyan</t>
  </si>
  <si>
    <t>Lithuania</t>
  </si>
  <si>
    <t>Lithuanian</t>
  </si>
  <si>
    <t>Lithunian</t>
  </si>
  <si>
    <t>North Macedonia</t>
  </si>
  <si>
    <t>Macedonian</t>
  </si>
  <si>
    <t>Malaysia</t>
  </si>
  <si>
    <t>Malaysian</t>
  </si>
  <si>
    <t>Mexico</t>
  </si>
  <si>
    <t>Mexican</t>
  </si>
  <si>
    <t>Republic of Moldova</t>
  </si>
  <si>
    <t>Moldovan</t>
  </si>
  <si>
    <t>Morocco</t>
  </si>
  <si>
    <t>Moroccan</t>
  </si>
  <si>
    <t>New Zealand</t>
  </si>
  <si>
    <t>New Zealander</t>
  </si>
  <si>
    <t>Nigeria</t>
  </si>
  <si>
    <t>Nigerian</t>
  </si>
  <si>
    <t>Norway</t>
  </si>
  <si>
    <t>Norwegian</t>
  </si>
  <si>
    <t>Unknown</t>
  </si>
  <si>
    <t>Not Supplied</t>
  </si>
  <si>
    <t>Pakistan</t>
  </si>
  <si>
    <t>Palestine</t>
  </si>
  <si>
    <t>Palestinian</t>
  </si>
  <si>
    <t>Republic of the Philippines</t>
  </si>
  <si>
    <t>Philippino</t>
  </si>
  <si>
    <t>Poland</t>
  </si>
  <si>
    <t>Polish</t>
  </si>
  <si>
    <t>Portugal</t>
  </si>
  <si>
    <t>Portuguese</t>
  </si>
  <si>
    <t>Romania</t>
  </si>
  <si>
    <t>Romanian</t>
  </si>
  <si>
    <t>Russian Federation</t>
  </si>
  <si>
    <t>Russian</t>
  </si>
  <si>
    <t>Saudi Arabia</t>
  </si>
  <si>
    <t>Saudi Arabian</t>
  </si>
  <si>
    <t>Scotland</t>
  </si>
  <si>
    <t>Scottish</t>
  </si>
  <si>
    <t>Republic of Serbia</t>
  </si>
  <si>
    <t>Serbian</t>
  </si>
  <si>
    <t>Slovenia</t>
  </si>
  <si>
    <t>Slovenian</t>
  </si>
  <si>
    <t>Somalia</t>
  </si>
  <si>
    <t>Somalian</t>
  </si>
  <si>
    <t>South Africa</t>
  </si>
  <si>
    <t>South African</t>
  </si>
  <si>
    <t>Spain</t>
  </si>
  <si>
    <t>Spanish</t>
  </si>
  <si>
    <t>Sri Lanka</t>
  </si>
  <si>
    <t>Sri Lankan</t>
  </si>
  <si>
    <t>Sudan</t>
  </si>
  <si>
    <t>Sudanese</t>
  </si>
  <si>
    <t>Sweden</t>
  </si>
  <si>
    <t>Swedish</t>
  </si>
  <si>
    <t>Switzerland</t>
  </si>
  <si>
    <t>Swiss</t>
  </si>
  <si>
    <t>Syrian Arab Republic</t>
  </si>
  <si>
    <t>Syrian</t>
  </si>
  <si>
    <t>Taiwan</t>
  </si>
  <si>
    <t>Taiwanese</t>
  </si>
  <si>
    <t>Thailand</t>
  </si>
  <si>
    <t>Thai</t>
  </si>
  <si>
    <t>Turkiye</t>
  </si>
  <si>
    <t>Turkish</t>
  </si>
  <si>
    <t>Uganda</t>
  </si>
  <si>
    <t>Ugandan</t>
  </si>
  <si>
    <t>Ukraine</t>
  </si>
  <si>
    <t>Ukranian</t>
  </si>
  <si>
    <t>Uruguay</t>
  </si>
  <si>
    <t>Uruguayan</t>
  </si>
  <si>
    <t>Viet Nam</t>
  </si>
  <si>
    <t>Vietnamese</t>
  </si>
  <si>
    <t>Saint Vincent and the Grenadines</t>
  </si>
  <si>
    <t>Vincentian</t>
  </si>
  <si>
    <t>Yugoslavia</t>
  </si>
  <si>
    <t>Yugoslavian</t>
  </si>
  <si>
    <t>Zimbabwe</t>
  </si>
  <si>
    <t>Zimbabwean</t>
  </si>
  <si>
    <t>Agnostic</t>
  </si>
  <si>
    <t>Anglican</t>
  </si>
  <si>
    <t>Atheist</t>
  </si>
  <si>
    <t>Baptist, follower of religion</t>
  </si>
  <si>
    <t>Baptist</t>
  </si>
  <si>
    <t>Buddhist, follower of religion</t>
  </si>
  <si>
    <t>Buddhist</t>
  </si>
  <si>
    <t>Christian, follower of religion</t>
  </si>
  <si>
    <t>Christian</t>
  </si>
  <si>
    <t>Church of England</t>
  </si>
  <si>
    <t>Greek Orthodox</t>
  </si>
  <si>
    <t>Hindu, follower of religion</t>
  </si>
  <si>
    <t>Hindu</t>
  </si>
  <si>
    <t>Jewish, follower of religion</t>
  </si>
  <si>
    <t>Je - Jewish</t>
  </si>
  <si>
    <t>Jehovah's Witness religion</t>
  </si>
  <si>
    <t>Jehovah Witness</t>
  </si>
  <si>
    <t>Judaism</t>
  </si>
  <si>
    <t>Church of Jesus Christ of Latter Day Saints</t>
  </si>
  <si>
    <t>Latter Day Saints</t>
  </si>
  <si>
    <t>Methodist, follower of religion</t>
  </si>
  <si>
    <t>Methodist</t>
  </si>
  <si>
    <t>Muslim, follower of religion</t>
  </si>
  <si>
    <t>Muslim</t>
  </si>
  <si>
    <t>Not religious</t>
  </si>
  <si>
    <t>No - None</t>
  </si>
  <si>
    <t>No Religion</t>
  </si>
  <si>
    <t>Ot - Other</t>
  </si>
  <si>
    <t>Pentecostalist, follower of religion</t>
  </si>
  <si>
    <t>Pentecostalist</t>
  </si>
  <si>
    <t>Roman Catholic, follower of religion</t>
  </si>
  <si>
    <t>Roman Catholic</t>
  </si>
  <si>
    <t>Russian Orthodox, follower of religion</t>
  </si>
  <si>
    <t>Russian Orthodox</t>
  </si>
  <si>
    <t>Sikh, follower of religion</t>
  </si>
  <si>
    <t>Sikh</t>
  </si>
  <si>
    <t>Referral by [qualitfier] Unknown</t>
  </si>
  <si>
    <t>Referral by relative</t>
  </si>
  <si>
    <t>Referral by [qualitfier] Acquaintance</t>
  </si>
  <si>
    <t>1B - Individual - Acquaintance (including neighbours and child minders)</t>
  </si>
  <si>
    <t>Self-referral</t>
  </si>
  <si>
    <t>Referral by person</t>
  </si>
  <si>
    <t>1D - Individual - Other (including strangers, MPs)</t>
  </si>
  <si>
    <t>Referral by school teacher</t>
  </si>
  <si>
    <t>Referral by education service</t>
  </si>
  <si>
    <t>Referral by GP</t>
  </si>
  <si>
    <t>Referral by health visitor</t>
  </si>
  <si>
    <t>Referral by school nurse</t>
  </si>
  <si>
    <t>Referral by [qualifier] Primary care service</t>
  </si>
  <si>
    <t>Referral by accident and emergency</t>
  </si>
  <si>
    <t>Referral by health worker</t>
  </si>
  <si>
    <t>Referral by mental health service</t>
  </si>
  <si>
    <t>Referral by housing service</t>
  </si>
  <si>
    <t>Referral by social services</t>
  </si>
  <si>
    <t>Referral by [qualitfier] Local authority</t>
  </si>
  <si>
    <t>Referral by police</t>
  </si>
  <si>
    <t>Referral by criminal justice system</t>
  </si>
  <si>
    <t>Referral by private agency</t>
  </si>
  <si>
    <t>Field</t>
  </si>
  <si>
    <t>CP_PLAN_FACT.csv</t>
  </si>
  <si>
    <r>
      <rPr>
        <sz val="10"/>
        <rFont val="Mangal"/>
        <family val="2"/>
        <charset val="1"/>
      </rPr>
      <t>﻿</t>
    </r>
    <r>
      <rPr>
        <sz val="11"/>
        <color theme="1"/>
        <rFont val="Aptos Narrow"/>
        <family val="2"/>
        <scheme val="minor"/>
      </rPr>
      <t>CP_CATEGORY_DESC</t>
    </r>
  </si>
  <si>
    <t>Description of protected child category</t>
  </si>
  <si>
    <t>CP_PLAN_ID</t>
  </si>
  <si>
    <t>Primary key. Unique ID per plan</t>
  </si>
  <si>
    <t>rid</t>
  </si>
  <si>
    <t>research identifier</t>
  </si>
  <si>
    <t>trid</t>
  </si>
  <si>
    <t>transient research identifier</t>
  </si>
  <si>
    <t>REFERRAL_ID</t>
  </si>
  <si>
    <t>Foreign key to Referral</t>
  </si>
  <si>
    <t>nhshash</t>
  </si>
  <si>
    <t>De-identified NHS number</t>
  </si>
  <si>
    <t>_when_processed_utc</t>
  </si>
  <si>
    <t>Processing date/time</t>
  </si>
  <si>
    <r>
      <rPr>
        <sz val="10"/>
        <rFont val="Mangal"/>
        <family val="2"/>
        <charset val="1"/>
      </rPr>
      <t>﻿</t>
    </r>
    <r>
      <rPr>
        <sz val="11"/>
        <color theme="1"/>
        <rFont val="Aptos Narrow"/>
        <family val="2"/>
        <scheme val="minor"/>
      </rPr>
      <t>DISCUSSION_ID</t>
    </r>
  </si>
  <si>
    <t>Primary key. Unique ID per discussion</t>
  </si>
  <si>
    <t>MEETING_ID</t>
  </si>
  <si>
    <t>Meeting ID.</t>
  </si>
  <si>
    <t>STR_DIS_OUTCOME_FOLLOW_UP_STR_DIS</t>
  </si>
  <si>
    <t xml:space="preserve">Outcome flag follow up </t>
  </si>
  <si>
    <t>Outcome flag National Fostering Agency</t>
  </si>
  <si>
    <t>Outcome flag police investivation</t>
  </si>
  <si>
    <t>STR_DIS_OUTCOME_S47_CONTINUE_EPISODE</t>
  </si>
  <si>
    <t>Outcome flag continue S47 episode</t>
  </si>
  <si>
    <r>
      <rPr>
        <sz val="10"/>
        <rFont val="Mangal"/>
        <family val="2"/>
        <charset val="1"/>
      </rPr>
      <t>﻿</t>
    </r>
    <r>
      <rPr>
        <sz val="11"/>
        <color theme="1"/>
        <rFont val="Aptos Narrow"/>
        <family val="2"/>
        <scheme val="minor"/>
      </rPr>
      <t>ASSESSMENT_END_DATE</t>
    </r>
  </si>
  <si>
    <t>ASSESSMENT_ID</t>
  </si>
  <si>
    <t>Primary key. Unique ID per assessment</t>
  </si>
  <si>
    <t>FORM_ID</t>
  </si>
  <si>
    <t>Form ID</t>
  </si>
  <si>
    <r>
      <rPr>
        <sz val="10"/>
        <rFont val="Mangal"/>
        <family val="2"/>
        <charset val="1"/>
      </rPr>
      <t>﻿</t>
    </r>
    <r>
      <rPr>
        <sz val="11"/>
        <color theme="1"/>
        <rFont val="Aptos Narrow"/>
        <family val="2"/>
        <scheme val="minor"/>
      </rPr>
      <t>CNT_OUTCOME_ADVICE</t>
    </r>
  </si>
  <si>
    <t>CONTACT_ID</t>
  </si>
  <si>
    <t>Primary key. Unique ID per contact</t>
  </si>
  <si>
    <r>
      <rPr>
        <sz val="10"/>
        <rFont val="Mangal"/>
        <family val="2"/>
        <charset val="1"/>
      </rPr>
      <t>﻿</t>
    </r>
    <r>
      <rPr>
        <sz val="11"/>
        <color theme="1"/>
        <rFont val="Aptos Narrow"/>
        <family val="2"/>
        <scheme val="minor"/>
      </rPr>
      <t>CONTACT_SOURCE</t>
    </r>
  </si>
  <si>
    <t>PREVIOUS_REFERRAL_END</t>
  </si>
  <si>
    <t>Previous referral end date</t>
  </si>
  <si>
    <t>PREVIOUS_REFERRAL_START</t>
  </si>
  <si>
    <t>Previous referral start date</t>
  </si>
  <si>
    <t>Primary key. Unique referral ID per referral.</t>
  </si>
  <si>
    <t>Referral to team</t>
  </si>
  <si>
    <t>Outcome flag CP (protected child) transfer in</t>
  </si>
  <si>
    <t>REREFERRAL_FLAG</t>
  </si>
  <si>
    <t>Re-referral flag</t>
  </si>
  <si>
    <r>
      <rPr>
        <sz val="10"/>
        <rFont val="Mangal"/>
        <family val="2"/>
        <charset val="1"/>
      </rPr>
      <t>﻿</t>
    </r>
    <r>
      <rPr>
        <sz val="11"/>
        <color theme="1"/>
        <rFont val="Aptos Narrow"/>
        <family val="2"/>
        <scheme val="minor"/>
      </rPr>
      <t>CATEGORY_OF_NEED</t>
    </r>
  </si>
  <si>
    <t>CLA_ID</t>
  </si>
  <si>
    <t>Primary key. Unique ID per CLA</t>
  </si>
  <si>
    <t>CLA_REASON</t>
  </si>
  <si>
    <t>Reason for CLA status</t>
  </si>
  <si>
    <r>
      <rPr>
        <sz val="10"/>
        <rFont val="Mangal"/>
        <family val="2"/>
        <charset val="1"/>
      </rPr>
      <t>﻿</t>
    </r>
    <r>
      <rPr>
        <sz val="11"/>
        <color theme="1"/>
        <rFont val="Aptos Narrow"/>
        <family val="2"/>
        <scheme val="minor"/>
      </rPr>
      <t>CONTACT_DATE</t>
    </r>
  </si>
  <si>
    <t>EHNCT_OUTCOME_EHCP_TRANSFER</t>
  </si>
  <si>
    <t>Outcome flag early help transfer</t>
  </si>
  <si>
    <t>EH_CONTACT_ID</t>
  </si>
  <si>
    <t>Primary key. Unique ID per EH contact</t>
  </si>
  <si>
    <t>_when_processed_uhc</t>
  </si>
  <si>
    <r>
      <rPr>
        <sz val="10"/>
        <rFont val="Mangal"/>
        <family val="2"/>
        <charset val="1"/>
      </rPr>
      <t>﻿</t>
    </r>
    <r>
      <rPr>
        <sz val="11"/>
        <color theme="1"/>
        <rFont val="Aptos Narrow"/>
        <family val="2"/>
        <scheme val="minor"/>
      </rPr>
      <t>ANSWER_ID</t>
    </r>
  </si>
  <si>
    <t>Primary key. Unique ID per answer</t>
  </si>
  <si>
    <t>COMPLETED_DATE</t>
  </si>
  <si>
    <t>Completion date</t>
  </si>
  <si>
    <t>ID for form used</t>
  </si>
  <si>
    <t>FORM_MOST_RECENT_UPDATE</t>
  </si>
  <si>
    <t>Date of most recent update</t>
  </si>
  <si>
    <t>FORM_TYPE_ID_CODE</t>
  </si>
  <si>
    <t>Form type</t>
  </si>
  <si>
    <r>
      <rPr>
        <sz val="10"/>
        <rFont val="Mangal"/>
        <family val="2"/>
        <charset val="1"/>
      </rPr>
      <t>﻿</t>
    </r>
    <r>
      <rPr>
        <sz val="11"/>
        <color theme="1"/>
        <rFont val="Aptos Narrow"/>
        <family val="2"/>
        <scheme val="minor"/>
      </rPr>
      <t>ADDRESS_END_DATE</t>
    </r>
  </si>
  <si>
    <t>Address end date</t>
  </si>
  <si>
    <t>ADDRESS_ID</t>
  </si>
  <si>
    <t>Primary key. Unique address ID per address.</t>
  </si>
  <si>
    <t>ADDRESS_START_DATE</t>
  </si>
  <si>
    <t>Address start date</t>
  </si>
  <si>
    <t>ORGANISATION</t>
  </si>
  <si>
    <t>Name of organisation</t>
  </si>
  <si>
    <r>
      <rPr>
        <sz val="10"/>
        <rFont val="Mangal"/>
        <family val="2"/>
        <charset val="1"/>
      </rPr>
      <t>﻿</t>
    </r>
    <r>
      <rPr>
        <sz val="11"/>
        <color theme="1"/>
        <rFont val="Aptos Narrow"/>
        <family val="2"/>
        <scheme val="minor"/>
      </rPr>
      <t>DISABILITY_CODE</t>
    </r>
  </si>
  <si>
    <t>Disability code.</t>
  </si>
  <si>
    <t>DISABILITY_ID</t>
  </si>
  <si>
    <t>Primary key. Unique ID per disability</t>
  </si>
  <si>
    <t>NHSHASH</t>
  </si>
  <si>
    <r>
      <rPr>
        <sz val="10"/>
        <rFont val="Mangal"/>
        <family val="2"/>
        <charset val="1"/>
      </rPr>
      <t>﻿</t>
    </r>
    <r>
      <rPr>
        <sz val="11"/>
        <color theme="1"/>
        <rFont val="Aptos Narrow"/>
        <family val="2"/>
        <scheme val="minor"/>
      </rPr>
      <t>LANGUAGE_CODE</t>
    </r>
  </si>
  <si>
    <t>Language code</t>
  </si>
  <si>
    <t>LANGUAGE_ID</t>
  </si>
  <si>
    <t>Language type ID</t>
  </si>
  <si>
    <r>
      <rPr>
        <sz val="10"/>
        <rFont val="Mangal"/>
        <family val="2"/>
        <charset val="1"/>
      </rPr>
      <t>﻿</t>
    </r>
    <r>
      <rPr>
        <sz val="11"/>
        <color theme="1"/>
        <rFont val="Aptos Narrow"/>
        <family val="2"/>
        <scheme val="minor"/>
      </rPr>
      <t>DATE OF DEATH</t>
    </r>
  </si>
  <si>
    <t>ETHNICITY_17_LEVEL</t>
  </si>
  <si>
    <t>Ethnicity code (17-level)</t>
  </si>
  <si>
    <t>ETHNICITY_CODE</t>
  </si>
  <si>
    <t>Ethnicity main code</t>
  </si>
  <si>
    <t>ETHNICITY_DFE_CODE</t>
  </si>
  <si>
    <t>Ethnicity DFE code</t>
  </si>
  <si>
    <t>NATIONALITY_CODE</t>
  </si>
  <si>
    <t>Nationality code</t>
  </si>
  <si>
    <t>RELIGION_code</t>
  </si>
  <si>
    <t>Religion code</t>
  </si>
  <si>
    <r>
      <t>﻿</t>
    </r>
    <r>
      <rPr>
        <sz val="11"/>
        <color theme="1"/>
        <rFont val="Aptos Narrow"/>
        <family val="2"/>
        <scheme val="minor"/>
      </rPr>
      <t>DIM_LOOKUP_STEP_SUMMARY_STATUS_DESC</t>
    </r>
  </si>
  <si>
    <t>PARENT_PATHWAY</t>
  </si>
  <si>
    <t>Source of enquiry?</t>
  </si>
  <si>
    <t>S47_ENQ_OUTCOME_MONITOR</t>
  </si>
  <si>
    <t>Outcome flag monitor</t>
  </si>
  <si>
    <t>S47_ENQ_OUTCOME_NFA_CONT_CORE_ASSESSMENT</t>
  </si>
  <si>
    <t>Outcome flag NFA continue core assessment</t>
  </si>
  <si>
    <t>S47_ENQ_OUTCOME_NFA_CONT_SINGLE_ASSESSMENT</t>
  </si>
  <si>
    <t>Outcome flag NFA continue single assessment</t>
  </si>
  <si>
    <t>S47_ID</t>
  </si>
  <si>
    <t>Primary key. Unique ID per S47 enquiry</t>
  </si>
  <si>
    <r>
      <rPr>
        <sz val="10"/>
        <rFont val="Mangal"/>
        <family val="2"/>
        <charset val="1"/>
      </rPr>
      <t>﻿</t>
    </r>
    <r>
      <rPr>
        <sz val="11"/>
        <color theme="1"/>
        <rFont val="Aptos Narrow"/>
        <family val="2"/>
        <scheme val="minor"/>
      </rPr>
      <t xml:space="preserve">CATEGORY_OF_NEED </t>
    </r>
  </si>
  <si>
    <t>NEED_ID</t>
  </si>
  <si>
    <t>Primary key. Unique ID per episode of need</t>
  </si>
  <si>
    <t>_when_processed-utc</t>
  </si>
  <si>
    <t>Protected children</t>
  </si>
  <si>
    <t>Strategy discussions.</t>
  </si>
  <si>
    <t>Assessment outcomes.</t>
  </si>
  <si>
    <t>Contacts</t>
  </si>
  <si>
    <t>Referrals</t>
  </si>
  <si>
    <t>Looked after children</t>
  </si>
  <si>
    <t>Early Help contacts</t>
  </si>
  <si>
    <t>Assessment measurements</t>
  </si>
  <si>
    <t>Address information</t>
  </si>
  <si>
    <t>Disability information</t>
  </si>
  <si>
    <t>Language information</t>
  </si>
  <si>
    <t>Demographic information</t>
  </si>
  <si>
    <t>S47 enquiries</t>
  </si>
  <si>
    <t>Children in need of care episodes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</si>
</sst>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0"/>
      <name val="Mangal"/>
      <family val="2"/>
      <charset val="1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464646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242424"/>
      <name val="Aptos Narrow"/>
      <family val="2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B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E1E1E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/>
    </xf>
    <xf numFmtId="0" fontId="4" fillId="0" borderId="0" xfId="0" applyFont="1"/>
    <xf numFmtId="0" fontId="4" fillId="0" borderId="1" xfId="0" applyFont="1" applyBorder="1"/>
    <xf numFmtId="0" fontId="0" fillId="2" borderId="0" xfId="0" applyFill="1"/>
    <xf numFmtId="0" fontId="0" fillId="2" borderId="1" xfId="0" applyFill="1" applyBorder="1"/>
    <xf numFmtId="0" fontId="3" fillId="0" borderId="0" xfId="0" applyFont="1"/>
    <xf numFmtId="0" fontId="6" fillId="0" borderId="0" xfId="0" applyFont="1"/>
    <xf numFmtId="0" fontId="6" fillId="0" borderId="1" xfId="0" applyFont="1" applyBorder="1"/>
    <xf numFmtId="0" fontId="8" fillId="0" borderId="0" xfId="0" applyFont="1"/>
    <xf numFmtId="0" fontId="10" fillId="2" borderId="0" xfId="0" applyFont="1" applyFill="1"/>
    <xf numFmtId="0" fontId="4" fillId="2" borderId="0" xfId="0" applyFont="1" applyFill="1"/>
    <xf numFmtId="0" fontId="11" fillId="0" borderId="0" xfId="0" applyFont="1"/>
    <xf numFmtId="0" fontId="4" fillId="2" borderId="1" xfId="0" applyFont="1" applyFill="1" applyBorder="1"/>
    <xf numFmtId="0" fontId="10" fillId="2" borderId="1" xfId="0" applyFont="1" applyFill="1" applyBorder="1"/>
    <xf numFmtId="0" fontId="3" fillId="2" borderId="0" xfId="0" applyFont="1" applyFill="1"/>
    <xf numFmtId="0" fontId="9" fillId="0" borderId="0" xfId="0" applyFont="1"/>
    <xf numFmtId="0" fontId="5" fillId="0" borderId="0" xfId="0" applyFont="1"/>
    <xf numFmtId="0" fontId="5" fillId="0" borderId="1" xfId="0" applyFont="1" applyBorder="1"/>
    <xf numFmtId="0" fontId="7" fillId="0" borderId="0" xfId="0" applyFont="1"/>
    <xf numFmtId="0" fontId="7" fillId="0" borderId="1" xfId="0" applyFont="1" applyBorder="1"/>
    <xf numFmtId="0" fontId="0" fillId="0" borderId="0" xfId="0" quotePrefix="1"/>
    <xf numFmtId="0" fontId="3" fillId="0" borderId="0" xfId="0" quotePrefix="1" applyFont="1"/>
    <xf numFmtId="0" fontId="3" fillId="0" borderId="2" xfId="0" applyFont="1" applyBorder="1"/>
    <xf numFmtId="0" fontId="12" fillId="0" borderId="0" xfId="0" applyFont="1"/>
    <xf numFmtId="0" fontId="4" fillId="0" borderId="3" xfId="0" applyFont="1" applyBorder="1" applyAlignment="1">
      <alignment wrapText="1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olina Álvarez" id="{CC128A2C-F8B7-46F8-B50D-DDCA722110B9}" userId="S::csa36@cam.ac.uk::b63c416d-f173-4496-8dac-1ec5420c9724" providerId="AD"/>
  <person displayName="Rachel Sippy" id="{3CAAFBE4-459C-407F-8743-805E86CA386B}" userId="S::rjs271@cam.ac.uk::48b0f7bd-6966-431f-b94d-19653a6f23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5" dT="2024-08-15T09:09:31.59" personId="{CC128A2C-F8B7-46F8-B50D-DDCA722110B9}" id="{96CEAF13-9150-40BB-A193-C86E79EE72CF}">
    <text>outcome flag meaning?</text>
  </threadedComment>
  <threadedComment ref="G45" dT="2024-08-26T16:52:02.75" personId="{3CAAFBE4-459C-407F-8743-805E86CA386B}" id="{F65E4E2B-4AFC-4A52-A073-AB953E5BF44B}" parentId="{96CEAF13-9150-40BB-A193-C86E79EE72CF}">
    <text>"outcome flag" means that this variable is an indicator variable. There are several possible outcomes for a referral, and each "outcome flag" is a yes/no response, so if there is a "yes", it indicates the outcome for this particular referral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1609C-199D-4EB2-9241-E9DE0BAD8EDE}">
  <sheetPr>
    <tabColor theme="9"/>
  </sheetPr>
  <dimension ref="A1"/>
  <sheetViews>
    <sheetView workbookViewId="0">
      <selection activeCell="I44" sqref="I44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FAC77-7D8D-4956-A371-867CCCBF88D9}">
  <dimension ref="B2:H92"/>
  <sheetViews>
    <sheetView zoomScaleNormal="100" workbookViewId="0">
      <pane ySplit="2" topLeftCell="A3" activePane="bottomLeft" state="frozen"/>
      <selection pane="bottomLeft" activeCell="E79" sqref="E79"/>
    </sheetView>
  </sheetViews>
  <sheetFormatPr defaultRowHeight="15"/>
  <cols>
    <col min="1" max="1" width="3.7109375" style="4" customWidth="1"/>
    <col min="2" max="2" width="10.140625" style="4" bestFit="1" customWidth="1"/>
    <col min="3" max="3" width="55.28515625" style="4" bestFit="1" customWidth="1"/>
    <col min="4" max="4" width="27.85546875" style="4" customWidth="1"/>
    <col min="5" max="5" width="16" style="4" customWidth="1"/>
    <col min="6" max="6" width="45.28515625" style="4" bestFit="1" customWidth="1"/>
    <col min="7" max="7" width="29.5703125" style="4" customWidth="1"/>
    <col min="8" max="8" width="33.7109375" style="4" customWidth="1"/>
    <col min="9" max="16384" width="9.140625" style="4"/>
  </cols>
  <sheetData>
    <row r="2" spans="2:8">
      <c r="B2" s="26" t="s">
        <v>0</v>
      </c>
      <c r="C2" s="26" t="s">
        <v>1</v>
      </c>
      <c r="D2" s="26" t="s">
        <v>2</v>
      </c>
      <c r="E2" s="26" t="s">
        <v>3</v>
      </c>
      <c r="F2" s="26" t="s">
        <v>4</v>
      </c>
      <c r="G2" s="26" t="s">
        <v>5</v>
      </c>
      <c r="H2" s="26" t="s">
        <v>6</v>
      </c>
    </row>
    <row r="3" spans="2:8">
      <c r="B3" s="4">
        <v>44806614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</row>
    <row r="4" spans="2:8">
      <c r="B4" s="4">
        <v>44806612</v>
      </c>
      <c r="C4" s="4" t="s">
        <v>13</v>
      </c>
      <c r="D4" s="4" t="s">
        <v>8</v>
      </c>
      <c r="E4" s="4" t="s">
        <v>9</v>
      </c>
      <c r="F4" s="4" t="s">
        <v>14</v>
      </c>
      <c r="G4" s="4" t="s">
        <v>15</v>
      </c>
      <c r="H4" s="4" t="s">
        <v>12</v>
      </c>
    </row>
    <row r="5" spans="2:8">
      <c r="B5" s="4">
        <v>44806615</v>
      </c>
      <c r="C5" s="4" t="s">
        <v>16</v>
      </c>
      <c r="D5" s="4" t="s">
        <v>8</v>
      </c>
      <c r="E5" s="4" t="s">
        <v>9</v>
      </c>
      <c r="F5" s="4" t="s">
        <v>17</v>
      </c>
      <c r="G5" s="4" t="s">
        <v>18</v>
      </c>
      <c r="H5" s="4" t="s">
        <v>12</v>
      </c>
    </row>
    <row r="6" spans="2:8">
      <c r="B6" s="4">
        <v>44806613</v>
      </c>
      <c r="C6" s="4" t="s">
        <v>19</v>
      </c>
      <c r="D6" s="4" t="s">
        <v>8</v>
      </c>
      <c r="E6" s="4" t="s">
        <v>9</v>
      </c>
      <c r="F6" s="4" t="s">
        <v>20</v>
      </c>
      <c r="G6" s="4" t="s">
        <v>21</v>
      </c>
      <c r="H6" s="4" t="s">
        <v>12</v>
      </c>
    </row>
    <row r="7" spans="2:8">
      <c r="B7" s="4">
        <v>4053115</v>
      </c>
      <c r="C7" s="4" t="s">
        <v>22</v>
      </c>
      <c r="D7" s="4" t="s">
        <v>23</v>
      </c>
      <c r="E7" s="4" t="s">
        <v>9</v>
      </c>
      <c r="F7" s="4" t="s">
        <v>24</v>
      </c>
      <c r="G7" s="4" t="s">
        <v>25</v>
      </c>
      <c r="H7" s="4" t="s">
        <v>12</v>
      </c>
    </row>
    <row r="8" spans="2:8">
      <c r="B8" s="28" t="s">
        <v>26</v>
      </c>
      <c r="C8" s="28" t="s">
        <v>26</v>
      </c>
      <c r="D8" s="28" t="s">
        <v>8</v>
      </c>
      <c r="E8" s="28" t="s">
        <v>9</v>
      </c>
      <c r="F8" s="28" t="s">
        <v>27</v>
      </c>
      <c r="G8" s="28" t="s">
        <v>28</v>
      </c>
      <c r="H8" s="28" t="s">
        <v>12</v>
      </c>
    </row>
    <row r="9" spans="2:8">
      <c r="B9" s="4">
        <v>44791869</v>
      </c>
      <c r="C9" s="4" t="s">
        <v>29</v>
      </c>
      <c r="D9" s="4" t="s">
        <v>30</v>
      </c>
      <c r="E9" s="4" t="s">
        <v>31</v>
      </c>
      <c r="F9" s="4" t="s">
        <v>32</v>
      </c>
      <c r="G9" s="4" t="s">
        <v>33</v>
      </c>
      <c r="H9" s="4" t="s">
        <v>34</v>
      </c>
    </row>
    <row r="10" spans="2:8">
      <c r="B10" s="4">
        <v>1620966</v>
      </c>
      <c r="C10" s="4" t="s">
        <v>35</v>
      </c>
      <c r="D10" s="4" t="s">
        <v>30</v>
      </c>
      <c r="E10" s="4" t="s">
        <v>36</v>
      </c>
      <c r="F10" s="4" t="s">
        <v>37</v>
      </c>
      <c r="G10" s="4" t="s">
        <v>38</v>
      </c>
      <c r="H10" s="4" t="s">
        <v>34</v>
      </c>
    </row>
    <row r="11" spans="2:8">
      <c r="B11" s="4">
        <v>4189812</v>
      </c>
      <c r="C11" s="4" t="s">
        <v>39</v>
      </c>
      <c r="D11" s="4" t="s">
        <v>30</v>
      </c>
      <c r="E11" s="4" t="s">
        <v>9</v>
      </c>
      <c r="F11" s="4" t="s">
        <v>40</v>
      </c>
      <c r="G11" s="4" t="s">
        <v>41</v>
      </c>
      <c r="H11" s="4" t="s">
        <v>34</v>
      </c>
    </row>
    <row r="12" spans="2:8">
      <c r="B12" s="4">
        <v>4137059</v>
      </c>
      <c r="C12" s="4" t="s">
        <v>42</v>
      </c>
      <c r="D12" s="4" t="s">
        <v>30</v>
      </c>
      <c r="E12" s="4" t="s">
        <v>9</v>
      </c>
      <c r="F12" s="4" t="s">
        <v>43</v>
      </c>
      <c r="G12" s="4" t="s">
        <v>44</v>
      </c>
      <c r="H12" s="4" t="s">
        <v>34</v>
      </c>
    </row>
    <row r="13" spans="2:8">
      <c r="B13" s="4">
        <v>44795391</v>
      </c>
      <c r="C13" s="4" t="s">
        <v>45</v>
      </c>
      <c r="D13" s="4" t="s">
        <v>30</v>
      </c>
      <c r="E13" s="4" t="s">
        <v>46</v>
      </c>
      <c r="F13" s="4" t="s">
        <v>47</v>
      </c>
      <c r="G13" s="4" t="s">
        <v>48</v>
      </c>
      <c r="H13" s="4" t="s">
        <v>34</v>
      </c>
    </row>
    <row r="14" spans="2:8">
      <c r="B14" s="28">
        <v>44787796</v>
      </c>
      <c r="C14" s="28" t="s">
        <v>49</v>
      </c>
      <c r="D14" s="28" t="s">
        <v>30</v>
      </c>
      <c r="E14" s="28" t="s">
        <v>46</v>
      </c>
      <c r="F14" s="28" t="s">
        <v>50</v>
      </c>
      <c r="G14" s="28" t="s">
        <v>51</v>
      </c>
      <c r="H14" s="28" t="s">
        <v>34</v>
      </c>
    </row>
    <row r="15" spans="2:8">
      <c r="B15" s="4" t="s">
        <v>26</v>
      </c>
      <c r="C15" s="4" t="s">
        <v>26</v>
      </c>
      <c r="D15" s="4" t="s">
        <v>52</v>
      </c>
      <c r="E15" s="4" t="s">
        <v>9</v>
      </c>
      <c r="F15" s="4" t="s">
        <v>53</v>
      </c>
      <c r="G15" s="4" t="s">
        <v>54</v>
      </c>
      <c r="H15" s="4" t="s">
        <v>55</v>
      </c>
    </row>
    <row r="16" spans="2:8">
      <c r="B16" s="4">
        <v>44787796</v>
      </c>
      <c r="C16" s="4" t="s">
        <v>49</v>
      </c>
      <c r="D16" s="4" t="s">
        <v>56</v>
      </c>
      <c r="E16" s="4" t="s">
        <v>46</v>
      </c>
      <c r="F16" s="4" t="s">
        <v>57</v>
      </c>
      <c r="G16" s="4" t="s">
        <v>58</v>
      </c>
      <c r="H16" s="4" t="s">
        <v>55</v>
      </c>
    </row>
    <row r="17" spans="2:8">
      <c r="B17" s="4">
        <v>44813501</v>
      </c>
      <c r="C17" s="4" t="s">
        <v>59</v>
      </c>
      <c r="D17" s="4" t="s">
        <v>60</v>
      </c>
      <c r="E17" s="4" t="s">
        <v>9</v>
      </c>
      <c r="F17" s="4" t="s">
        <v>61</v>
      </c>
      <c r="G17" s="4" t="s">
        <v>62</v>
      </c>
      <c r="H17" s="4" t="s">
        <v>55</v>
      </c>
    </row>
    <row r="18" spans="2:8">
      <c r="B18" s="4">
        <v>4139252</v>
      </c>
      <c r="C18" s="4" t="s">
        <v>63</v>
      </c>
      <c r="D18" s="4" t="s">
        <v>56</v>
      </c>
      <c r="E18" s="4" t="s">
        <v>9</v>
      </c>
      <c r="F18" s="4" t="s">
        <v>64</v>
      </c>
      <c r="G18" s="4" t="s">
        <v>65</v>
      </c>
      <c r="H18" s="4" t="s">
        <v>55</v>
      </c>
    </row>
    <row r="19" spans="2:8">
      <c r="B19" s="4">
        <v>1620966</v>
      </c>
      <c r="C19" s="4" t="s">
        <v>35</v>
      </c>
      <c r="D19" s="4" t="s">
        <v>56</v>
      </c>
      <c r="E19" s="4" t="s">
        <v>36</v>
      </c>
      <c r="F19" s="4" t="s">
        <v>66</v>
      </c>
      <c r="G19" s="4" t="s">
        <v>38</v>
      </c>
      <c r="H19" s="4" t="s">
        <v>55</v>
      </c>
    </row>
    <row r="20" spans="2:8">
      <c r="B20" s="4">
        <v>4053115</v>
      </c>
      <c r="C20" s="4" t="s">
        <v>22</v>
      </c>
      <c r="D20" s="4" t="s">
        <v>56</v>
      </c>
      <c r="E20" s="4" t="s">
        <v>9</v>
      </c>
      <c r="F20" s="4" t="s">
        <v>67</v>
      </c>
      <c r="G20" s="4" t="s">
        <v>68</v>
      </c>
      <c r="H20" s="4" t="s">
        <v>55</v>
      </c>
    </row>
    <row r="21" spans="2:8">
      <c r="B21" s="4">
        <v>44811639</v>
      </c>
      <c r="C21" s="4" t="s">
        <v>69</v>
      </c>
      <c r="D21" s="4" t="s">
        <v>56</v>
      </c>
      <c r="E21" s="4" t="s">
        <v>9</v>
      </c>
      <c r="F21" s="4" t="s">
        <v>70</v>
      </c>
      <c r="G21" s="4" t="s">
        <v>71</v>
      </c>
      <c r="H21" s="4" t="s">
        <v>55</v>
      </c>
    </row>
    <row r="22" spans="2:8">
      <c r="B22" s="4">
        <v>4148671</v>
      </c>
      <c r="C22" s="4" t="s">
        <v>72</v>
      </c>
      <c r="D22" s="4" t="s">
        <v>56</v>
      </c>
      <c r="E22" s="4" t="s">
        <v>9</v>
      </c>
      <c r="F22" s="4" t="s">
        <v>73</v>
      </c>
      <c r="G22" s="4" t="s">
        <v>74</v>
      </c>
      <c r="H22" s="4" t="s">
        <v>55</v>
      </c>
    </row>
    <row r="23" spans="2:8">
      <c r="B23" s="4">
        <v>4019826</v>
      </c>
      <c r="C23" s="4" t="s">
        <v>75</v>
      </c>
      <c r="D23" s="4" t="s">
        <v>56</v>
      </c>
      <c r="E23" s="4" t="s">
        <v>9</v>
      </c>
      <c r="F23" s="4" t="s">
        <v>76</v>
      </c>
      <c r="G23" s="4" t="s">
        <v>77</v>
      </c>
      <c r="H23" s="4" t="s">
        <v>55</v>
      </c>
    </row>
    <row r="24" spans="2:8">
      <c r="B24" s="4">
        <v>4208328</v>
      </c>
      <c r="C24" s="4" t="s">
        <v>78</v>
      </c>
      <c r="D24" s="4" t="s">
        <v>56</v>
      </c>
      <c r="E24" s="4" t="s">
        <v>9</v>
      </c>
      <c r="F24" s="4" t="s">
        <v>79</v>
      </c>
      <c r="G24" s="4" t="s">
        <v>44</v>
      </c>
      <c r="H24" s="4" t="s">
        <v>55</v>
      </c>
    </row>
    <row r="25" spans="2:8">
      <c r="B25" s="27">
        <v>44798918</v>
      </c>
      <c r="C25" s="4" t="s">
        <v>80</v>
      </c>
      <c r="D25" s="4" t="s">
        <v>56</v>
      </c>
      <c r="E25" s="4" t="s">
        <v>46</v>
      </c>
      <c r="F25" s="4" t="s">
        <v>81</v>
      </c>
      <c r="G25" s="4" t="s">
        <v>82</v>
      </c>
      <c r="H25" s="4" t="s">
        <v>55</v>
      </c>
    </row>
    <row r="26" spans="2:8">
      <c r="B26" s="4">
        <v>4073156</v>
      </c>
      <c r="C26" s="4" t="s">
        <v>83</v>
      </c>
      <c r="D26" s="4" t="s">
        <v>56</v>
      </c>
      <c r="E26" s="4" t="s">
        <v>46</v>
      </c>
      <c r="F26" s="4" t="s">
        <v>84</v>
      </c>
      <c r="G26" s="4" t="s">
        <v>85</v>
      </c>
      <c r="H26" s="4" t="s">
        <v>55</v>
      </c>
    </row>
    <row r="27" spans="2:8">
      <c r="B27" s="28" t="s">
        <v>26</v>
      </c>
      <c r="C27" s="28" t="s">
        <v>86</v>
      </c>
      <c r="D27" s="28" t="s">
        <v>87</v>
      </c>
      <c r="E27" s="28" t="s">
        <v>88</v>
      </c>
      <c r="F27" s="28" t="s">
        <v>89</v>
      </c>
      <c r="G27" s="28" t="s">
        <v>90</v>
      </c>
      <c r="H27" s="28" t="s">
        <v>55</v>
      </c>
    </row>
    <row r="28" spans="2:8">
      <c r="B28" s="4">
        <v>4167554</v>
      </c>
      <c r="C28" s="4" t="s">
        <v>91</v>
      </c>
      <c r="D28" s="4" t="s">
        <v>92</v>
      </c>
      <c r="E28" s="4" t="s">
        <v>9</v>
      </c>
      <c r="F28" s="4" t="s">
        <v>93</v>
      </c>
      <c r="G28" s="4" t="s">
        <v>94</v>
      </c>
      <c r="H28" s="4" t="s">
        <v>95</v>
      </c>
    </row>
    <row r="29" spans="2:8">
      <c r="B29" s="4">
        <v>44795391</v>
      </c>
      <c r="C29" s="4" t="s">
        <v>96</v>
      </c>
      <c r="D29" s="4" t="s">
        <v>92</v>
      </c>
      <c r="E29" s="4" t="s">
        <v>46</v>
      </c>
      <c r="F29" s="4" t="s">
        <v>97</v>
      </c>
      <c r="G29" s="4" t="s">
        <v>98</v>
      </c>
      <c r="H29" s="4" t="s">
        <v>95</v>
      </c>
    </row>
    <row r="30" spans="2:8">
      <c r="B30" s="4">
        <v>44804300</v>
      </c>
      <c r="C30" s="4" t="s">
        <v>99</v>
      </c>
      <c r="D30" s="4" t="s">
        <v>92</v>
      </c>
      <c r="E30" s="4" t="s">
        <v>9</v>
      </c>
      <c r="F30" s="4" t="s">
        <v>100</v>
      </c>
      <c r="G30" s="4" t="s">
        <v>101</v>
      </c>
      <c r="H30" s="4" t="s">
        <v>95</v>
      </c>
    </row>
    <row r="31" spans="2:8">
      <c r="B31" s="4">
        <v>45881342</v>
      </c>
      <c r="C31" s="4" t="s">
        <v>102</v>
      </c>
      <c r="D31" s="4" t="s">
        <v>92</v>
      </c>
      <c r="E31" s="4" t="s">
        <v>36</v>
      </c>
      <c r="F31" s="4" t="s">
        <v>103</v>
      </c>
      <c r="G31" s="4" t="s">
        <v>104</v>
      </c>
      <c r="H31" s="4" t="s">
        <v>95</v>
      </c>
    </row>
    <row r="32" spans="2:8">
      <c r="B32" s="4">
        <v>4144684</v>
      </c>
      <c r="C32" s="4" t="s">
        <v>105</v>
      </c>
      <c r="D32" s="4" t="s">
        <v>92</v>
      </c>
      <c r="E32" s="4" t="s">
        <v>46</v>
      </c>
      <c r="F32" s="4" t="s">
        <v>106</v>
      </c>
      <c r="G32" s="4" t="s">
        <v>107</v>
      </c>
      <c r="H32" s="4" t="s">
        <v>95</v>
      </c>
    </row>
    <row r="33" spans="2:8">
      <c r="B33" s="4">
        <v>1620966</v>
      </c>
      <c r="C33" s="4" t="s">
        <v>35</v>
      </c>
      <c r="D33" s="4" t="s">
        <v>92</v>
      </c>
      <c r="E33" s="4" t="s">
        <v>36</v>
      </c>
      <c r="F33" s="4" t="s">
        <v>108</v>
      </c>
      <c r="G33" s="4" t="s">
        <v>38</v>
      </c>
      <c r="H33" s="4" t="s">
        <v>95</v>
      </c>
    </row>
    <row r="34" spans="2:8">
      <c r="B34" s="27">
        <v>4023148</v>
      </c>
      <c r="C34" s="4" t="s">
        <v>109</v>
      </c>
      <c r="D34" s="4" t="s">
        <v>92</v>
      </c>
      <c r="E34" s="4" t="s">
        <v>9</v>
      </c>
      <c r="F34" s="4" t="s">
        <v>110</v>
      </c>
      <c r="G34" s="4" t="s">
        <v>111</v>
      </c>
      <c r="H34" s="4" t="s">
        <v>95</v>
      </c>
    </row>
    <row r="35" spans="2:8">
      <c r="B35" s="4">
        <v>4208655</v>
      </c>
      <c r="C35" s="4" t="s">
        <v>112</v>
      </c>
      <c r="D35" s="4" t="s">
        <v>92</v>
      </c>
      <c r="E35" s="4" t="s">
        <v>9</v>
      </c>
      <c r="F35" s="4" t="s">
        <v>113</v>
      </c>
      <c r="G35" s="4" t="s">
        <v>114</v>
      </c>
      <c r="H35" s="4" t="s">
        <v>95</v>
      </c>
    </row>
    <row r="36" spans="2:8">
      <c r="B36" s="4">
        <v>44811639</v>
      </c>
      <c r="C36" s="4" t="s">
        <v>69</v>
      </c>
      <c r="D36" s="4" t="s">
        <v>92</v>
      </c>
      <c r="E36" s="4" t="s">
        <v>9</v>
      </c>
      <c r="F36" s="4" t="s">
        <v>115</v>
      </c>
      <c r="G36" s="4" t="s">
        <v>71</v>
      </c>
      <c r="H36" s="4" t="s">
        <v>95</v>
      </c>
    </row>
    <row r="37" spans="2:8">
      <c r="B37" s="4" t="s">
        <v>26</v>
      </c>
      <c r="C37" s="4" t="s">
        <v>26</v>
      </c>
      <c r="D37" s="4" t="s">
        <v>92</v>
      </c>
      <c r="E37" s="4" t="s">
        <v>9</v>
      </c>
      <c r="F37" s="4" t="s">
        <v>116</v>
      </c>
      <c r="G37" s="4" t="s">
        <v>117</v>
      </c>
      <c r="H37" s="4" t="s">
        <v>95</v>
      </c>
    </row>
    <row r="38" spans="2:8">
      <c r="B38" s="4" t="s">
        <v>26</v>
      </c>
      <c r="C38" s="4" t="s">
        <v>118</v>
      </c>
      <c r="D38" s="4" t="s">
        <v>92</v>
      </c>
      <c r="E38" s="4" t="s">
        <v>9</v>
      </c>
      <c r="F38" s="4" t="s">
        <v>119</v>
      </c>
      <c r="G38" s="4" t="s">
        <v>120</v>
      </c>
      <c r="H38" s="4" t="s">
        <v>95</v>
      </c>
    </row>
    <row r="39" spans="2:8">
      <c r="B39" s="29" t="s">
        <v>26</v>
      </c>
      <c r="C39" s="28" t="s">
        <v>121</v>
      </c>
      <c r="D39" s="28" t="s">
        <v>122</v>
      </c>
      <c r="E39" s="28" t="s">
        <v>88</v>
      </c>
      <c r="F39" s="28" t="s">
        <v>123</v>
      </c>
      <c r="G39" s="28" t="s">
        <v>124</v>
      </c>
      <c r="H39" s="28" t="s">
        <v>95</v>
      </c>
    </row>
    <row r="40" spans="2:8">
      <c r="B40" s="4" t="s">
        <v>26</v>
      </c>
      <c r="C40" s="4" t="s">
        <v>118</v>
      </c>
      <c r="D40" s="4" t="s">
        <v>125</v>
      </c>
      <c r="E40" s="4" t="s">
        <v>9</v>
      </c>
      <c r="F40" s="4" t="s">
        <v>126</v>
      </c>
      <c r="G40" s="4" t="s">
        <v>127</v>
      </c>
      <c r="H40" s="4" t="s">
        <v>128</v>
      </c>
    </row>
    <row r="41" spans="2:8">
      <c r="B41" s="4" t="s">
        <v>26</v>
      </c>
      <c r="C41" s="4" t="s">
        <v>26</v>
      </c>
      <c r="D41" s="4" t="s">
        <v>129</v>
      </c>
      <c r="E41" s="4" t="s">
        <v>9</v>
      </c>
      <c r="F41" s="4" t="s">
        <v>130</v>
      </c>
      <c r="G41" s="4" t="s">
        <v>131</v>
      </c>
      <c r="H41" s="4" t="s">
        <v>128</v>
      </c>
    </row>
    <row r="42" spans="2:8">
      <c r="D42" s="4" t="s">
        <v>129</v>
      </c>
      <c r="E42" s="4" t="s">
        <v>9</v>
      </c>
      <c r="F42" s="4" t="s">
        <v>132</v>
      </c>
      <c r="G42" s="4" t="s">
        <v>133</v>
      </c>
      <c r="H42" s="4" t="s">
        <v>128</v>
      </c>
    </row>
    <row r="43" spans="2:8">
      <c r="B43" s="4">
        <v>4084207</v>
      </c>
      <c r="C43" s="4" t="s">
        <v>134</v>
      </c>
      <c r="D43" s="4" t="s">
        <v>125</v>
      </c>
      <c r="E43" s="4" t="s">
        <v>31</v>
      </c>
      <c r="F43" s="4" t="s">
        <v>135</v>
      </c>
      <c r="G43" s="4" t="s">
        <v>136</v>
      </c>
      <c r="H43" s="4" t="s">
        <v>128</v>
      </c>
    </row>
    <row r="44" spans="2:8">
      <c r="B44" s="4" t="s">
        <v>26</v>
      </c>
      <c r="C44" s="4" t="s">
        <v>121</v>
      </c>
      <c r="D44" s="4" t="s">
        <v>137</v>
      </c>
      <c r="E44" s="4" t="s">
        <v>88</v>
      </c>
      <c r="F44" s="4" t="s">
        <v>138</v>
      </c>
      <c r="G44" s="4" t="s">
        <v>139</v>
      </c>
      <c r="H44" s="4" t="s">
        <v>128</v>
      </c>
    </row>
    <row r="45" spans="2:8">
      <c r="B45" s="27">
        <v>36674640</v>
      </c>
      <c r="C45" s="4" t="s">
        <v>140</v>
      </c>
      <c r="D45" s="4" t="s">
        <v>125</v>
      </c>
      <c r="E45" s="4" t="s">
        <v>9</v>
      </c>
      <c r="F45" s="4" t="s">
        <v>141</v>
      </c>
      <c r="G45" s="4" t="s">
        <v>142</v>
      </c>
      <c r="H45" s="4" t="s">
        <v>128</v>
      </c>
    </row>
    <row r="46" spans="2:8">
      <c r="B46" s="4">
        <v>44813501</v>
      </c>
      <c r="C46" s="4" t="s">
        <v>143</v>
      </c>
      <c r="D46" s="4" t="s">
        <v>125</v>
      </c>
      <c r="E46" s="4" t="s">
        <v>9</v>
      </c>
      <c r="F46" s="4" t="s">
        <v>144</v>
      </c>
      <c r="G46" s="4" t="s">
        <v>145</v>
      </c>
      <c r="H46" s="4" t="s">
        <v>128</v>
      </c>
    </row>
    <row r="47" spans="2:8">
      <c r="B47" s="4">
        <v>4237323</v>
      </c>
      <c r="C47" s="4" t="s">
        <v>146</v>
      </c>
      <c r="D47" s="4" t="s">
        <v>125</v>
      </c>
      <c r="E47" s="4" t="s">
        <v>9</v>
      </c>
      <c r="F47" s="4" t="s">
        <v>147</v>
      </c>
      <c r="G47" s="4" t="s">
        <v>148</v>
      </c>
      <c r="H47" s="4" t="s">
        <v>128</v>
      </c>
    </row>
    <row r="48" spans="2:8">
      <c r="B48" s="4">
        <v>37175356</v>
      </c>
      <c r="C48" s="4" t="s">
        <v>149</v>
      </c>
      <c r="D48" s="4" t="s">
        <v>125</v>
      </c>
      <c r="E48" s="4" t="s">
        <v>9</v>
      </c>
      <c r="F48" s="4" t="s">
        <v>150</v>
      </c>
      <c r="G48" s="4" t="s">
        <v>151</v>
      </c>
      <c r="H48" s="4" t="s">
        <v>128</v>
      </c>
    </row>
    <row r="49" spans="2:8">
      <c r="B49" s="4">
        <v>1620966</v>
      </c>
      <c r="C49" s="4" t="s">
        <v>35</v>
      </c>
      <c r="D49" s="4" t="s">
        <v>125</v>
      </c>
      <c r="E49" s="4" t="s">
        <v>36</v>
      </c>
      <c r="F49" s="4" t="s">
        <v>152</v>
      </c>
      <c r="G49" s="4" t="s">
        <v>38</v>
      </c>
      <c r="H49" s="4" t="s">
        <v>128</v>
      </c>
    </row>
    <row r="50" spans="2:8">
      <c r="B50" s="27">
        <v>4023148</v>
      </c>
      <c r="C50" s="4" t="s">
        <v>109</v>
      </c>
      <c r="D50" s="4" t="s">
        <v>125</v>
      </c>
      <c r="E50" s="4" t="s">
        <v>9</v>
      </c>
      <c r="F50" s="4" t="s">
        <v>153</v>
      </c>
      <c r="G50" s="4" t="s">
        <v>111</v>
      </c>
      <c r="H50" s="4" t="s">
        <v>128</v>
      </c>
    </row>
    <row r="51" spans="2:8">
      <c r="B51" s="4">
        <v>44811639</v>
      </c>
      <c r="C51" s="4" t="s">
        <v>69</v>
      </c>
      <c r="D51" s="4" t="s">
        <v>125</v>
      </c>
      <c r="E51" s="4" t="s">
        <v>9</v>
      </c>
      <c r="F51" s="4" t="s">
        <v>154</v>
      </c>
      <c r="G51" s="4" t="s">
        <v>71</v>
      </c>
      <c r="H51" s="4" t="s">
        <v>128</v>
      </c>
    </row>
    <row r="52" spans="2:8">
      <c r="B52" s="4">
        <v>44787796</v>
      </c>
      <c r="C52" s="4" t="s">
        <v>49</v>
      </c>
      <c r="D52" s="4" t="s">
        <v>125</v>
      </c>
      <c r="E52" s="4" t="s">
        <v>46</v>
      </c>
      <c r="F52" s="4" t="s">
        <v>155</v>
      </c>
      <c r="G52" s="4" t="s">
        <v>51</v>
      </c>
      <c r="H52" s="4" t="s">
        <v>128</v>
      </c>
    </row>
    <row r="53" spans="2:8">
      <c r="B53" s="28">
        <v>4073156</v>
      </c>
      <c r="C53" s="28" t="s">
        <v>83</v>
      </c>
      <c r="D53" s="28" t="s">
        <v>125</v>
      </c>
      <c r="E53" s="28" t="s">
        <v>46</v>
      </c>
      <c r="F53" s="28" t="s">
        <v>156</v>
      </c>
      <c r="G53" s="28" t="s">
        <v>85</v>
      </c>
      <c r="H53" s="28" t="s">
        <v>128</v>
      </c>
    </row>
    <row r="54" spans="2:8">
      <c r="B54" s="4" t="s">
        <v>26</v>
      </c>
      <c r="C54" s="4" t="s">
        <v>118</v>
      </c>
      <c r="D54" s="4" t="s">
        <v>157</v>
      </c>
      <c r="E54" s="4" t="s">
        <v>9</v>
      </c>
      <c r="F54" s="4" t="s">
        <v>158</v>
      </c>
      <c r="G54" s="4" t="s">
        <v>159</v>
      </c>
      <c r="H54" s="4" t="s">
        <v>160</v>
      </c>
    </row>
    <row r="55" spans="2:8">
      <c r="B55" s="4" t="s">
        <v>26</v>
      </c>
      <c r="C55" s="4" t="s">
        <v>118</v>
      </c>
      <c r="D55" s="4" t="s">
        <v>161</v>
      </c>
      <c r="E55" s="4" t="s">
        <v>9</v>
      </c>
      <c r="F55" s="4" t="s">
        <v>162</v>
      </c>
      <c r="G55" s="4" t="s">
        <v>163</v>
      </c>
      <c r="H55" s="4" t="s">
        <v>160</v>
      </c>
    </row>
    <row r="56" spans="2:8">
      <c r="B56" s="4">
        <v>44813501</v>
      </c>
      <c r="C56" s="4" t="s">
        <v>143</v>
      </c>
      <c r="D56" s="4" t="s">
        <v>157</v>
      </c>
      <c r="E56" s="4" t="s">
        <v>9</v>
      </c>
      <c r="F56" s="4" t="s">
        <v>164</v>
      </c>
      <c r="G56" s="4" t="s">
        <v>165</v>
      </c>
      <c r="H56" s="4" t="s">
        <v>160</v>
      </c>
    </row>
    <row r="57" spans="2:8">
      <c r="B57" s="4">
        <v>44805601</v>
      </c>
      <c r="C57" s="4" t="s">
        <v>166</v>
      </c>
      <c r="D57" s="4" t="s">
        <v>161</v>
      </c>
      <c r="E57" s="4" t="s">
        <v>9</v>
      </c>
      <c r="F57" s="4" t="s">
        <v>167</v>
      </c>
      <c r="G57" s="4" t="s">
        <v>168</v>
      </c>
      <c r="H57" s="4" t="s">
        <v>160</v>
      </c>
    </row>
    <row r="58" spans="2:8">
      <c r="B58" s="28">
        <v>4313583</v>
      </c>
      <c r="C58" s="28" t="s">
        <v>169</v>
      </c>
      <c r="D58" s="28" t="s">
        <v>157</v>
      </c>
      <c r="E58" s="28" t="s">
        <v>9</v>
      </c>
      <c r="F58" s="28" t="s">
        <v>170</v>
      </c>
      <c r="G58" s="28" t="s">
        <v>169</v>
      </c>
      <c r="H58" s="28" t="s">
        <v>160</v>
      </c>
    </row>
    <row r="59" spans="2:8">
      <c r="B59" s="4" t="s">
        <v>26</v>
      </c>
      <c r="C59" s="4" t="s">
        <v>26</v>
      </c>
      <c r="D59" s="4" t="s">
        <v>171</v>
      </c>
      <c r="E59" s="4" t="s">
        <v>9</v>
      </c>
      <c r="F59" s="4" t="s">
        <v>172</v>
      </c>
      <c r="G59" s="4" t="s">
        <v>117</v>
      </c>
      <c r="H59" s="4" t="s">
        <v>173</v>
      </c>
    </row>
    <row r="60" spans="2:8">
      <c r="B60" s="4" t="s">
        <v>26</v>
      </c>
      <c r="C60" s="4" t="s">
        <v>118</v>
      </c>
      <c r="D60" s="4" t="s">
        <v>171</v>
      </c>
      <c r="E60" s="4" t="s">
        <v>9</v>
      </c>
      <c r="F60" s="4" t="s">
        <v>119</v>
      </c>
      <c r="G60" s="4" t="s">
        <v>174</v>
      </c>
      <c r="H60" s="4" t="s">
        <v>173</v>
      </c>
    </row>
    <row r="61" spans="2:8">
      <c r="B61" s="27" t="s">
        <v>26</v>
      </c>
      <c r="C61" s="4" t="s">
        <v>121</v>
      </c>
      <c r="D61" s="4" t="s">
        <v>175</v>
      </c>
      <c r="E61" s="4" t="s">
        <v>88</v>
      </c>
      <c r="F61" s="4" t="s">
        <v>123</v>
      </c>
      <c r="G61" s="4" t="s">
        <v>176</v>
      </c>
      <c r="H61" s="4" t="s">
        <v>173</v>
      </c>
    </row>
    <row r="62" spans="2:8">
      <c r="B62" s="4">
        <v>44804300</v>
      </c>
      <c r="C62" s="4" t="s">
        <v>99</v>
      </c>
      <c r="D62" s="4" t="s">
        <v>171</v>
      </c>
      <c r="E62" s="4" t="s">
        <v>9</v>
      </c>
      <c r="F62" s="4" t="s">
        <v>177</v>
      </c>
      <c r="G62" s="4" t="s">
        <v>178</v>
      </c>
      <c r="H62" s="4" t="s">
        <v>173</v>
      </c>
    </row>
    <row r="63" spans="2:8">
      <c r="B63" s="4">
        <v>4208655</v>
      </c>
      <c r="C63" s="4" t="s">
        <v>112</v>
      </c>
      <c r="D63" s="4" t="s">
        <v>171</v>
      </c>
      <c r="E63" s="4" t="s">
        <v>9</v>
      </c>
      <c r="F63" s="4" t="s">
        <v>179</v>
      </c>
      <c r="G63" s="4" t="s">
        <v>180</v>
      </c>
      <c r="H63" s="4" t="s">
        <v>173</v>
      </c>
    </row>
    <row r="64" spans="2:8">
      <c r="B64" s="28">
        <v>1620966</v>
      </c>
      <c r="C64" s="28" t="s">
        <v>35</v>
      </c>
      <c r="D64" s="28" t="s">
        <v>171</v>
      </c>
      <c r="E64" s="28" t="s">
        <v>36</v>
      </c>
      <c r="F64" s="28" t="s">
        <v>181</v>
      </c>
      <c r="G64" s="28" t="s">
        <v>38</v>
      </c>
      <c r="H64" s="28" t="s">
        <v>173</v>
      </c>
    </row>
    <row r="65" spans="2:8">
      <c r="B65" s="4" t="s">
        <v>26</v>
      </c>
      <c r="C65" s="4" t="s">
        <v>86</v>
      </c>
      <c r="D65" s="4" t="s">
        <v>182</v>
      </c>
      <c r="E65" s="4" t="s">
        <v>88</v>
      </c>
      <c r="F65" s="4" t="s">
        <v>183</v>
      </c>
      <c r="G65" s="4" t="s">
        <v>90</v>
      </c>
      <c r="H65" s="4" t="s">
        <v>184</v>
      </c>
    </row>
    <row r="66" spans="2:8">
      <c r="B66" s="4">
        <v>44810426</v>
      </c>
      <c r="C66" s="4" t="s">
        <v>185</v>
      </c>
      <c r="D66" s="4" t="s">
        <v>186</v>
      </c>
      <c r="E66" s="4" t="s">
        <v>46</v>
      </c>
      <c r="F66" s="4" t="s">
        <v>187</v>
      </c>
      <c r="G66" s="4" t="s">
        <v>188</v>
      </c>
      <c r="H66" s="4" t="s">
        <v>184</v>
      </c>
    </row>
    <row r="67" spans="2:8">
      <c r="B67" s="28" t="s">
        <v>26</v>
      </c>
      <c r="C67" s="28" t="s">
        <v>118</v>
      </c>
      <c r="D67" s="28" t="s">
        <v>186</v>
      </c>
      <c r="E67" s="28" t="s">
        <v>189</v>
      </c>
      <c r="F67" s="28" t="s">
        <v>190</v>
      </c>
      <c r="G67" s="28" t="s">
        <v>191</v>
      </c>
      <c r="H67" s="28" t="s">
        <v>184</v>
      </c>
    </row>
    <row r="68" spans="2:8">
      <c r="B68" s="4">
        <v>37021525</v>
      </c>
      <c r="C68" s="4" t="s">
        <v>192</v>
      </c>
      <c r="D68" s="4" t="s">
        <v>193</v>
      </c>
      <c r="E68" s="4" t="s">
        <v>9</v>
      </c>
      <c r="F68" s="4" t="s">
        <v>194</v>
      </c>
      <c r="G68" s="4" t="s">
        <v>192</v>
      </c>
      <c r="H68" s="4" t="s">
        <v>195</v>
      </c>
    </row>
    <row r="69" spans="2:8">
      <c r="B69" s="28" t="s">
        <v>26</v>
      </c>
      <c r="C69" s="28" t="s">
        <v>196</v>
      </c>
      <c r="D69" s="28" t="s">
        <v>197</v>
      </c>
      <c r="E69" s="28" t="s">
        <v>197</v>
      </c>
      <c r="F69" s="28" t="s">
        <v>198</v>
      </c>
      <c r="G69" s="28" t="s">
        <v>199</v>
      </c>
      <c r="H69" s="28" t="s">
        <v>195</v>
      </c>
    </row>
    <row r="70" spans="2:8">
      <c r="B70" s="4">
        <v>36659695</v>
      </c>
      <c r="C70" s="4" t="s">
        <v>200</v>
      </c>
      <c r="D70" s="4" t="s">
        <v>201</v>
      </c>
      <c r="E70" s="4" t="s">
        <v>9</v>
      </c>
      <c r="F70" s="4" t="s">
        <v>202</v>
      </c>
      <c r="G70" s="4" t="s">
        <v>203</v>
      </c>
      <c r="H70" s="4" t="s">
        <v>204</v>
      </c>
    </row>
    <row r="71" spans="2:8">
      <c r="B71" s="4" t="s">
        <v>26</v>
      </c>
      <c r="C71" s="4" t="s">
        <v>26</v>
      </c>
      <c r="D71" s="4" t="s">
        <v>205</v>
      </c>
      <c r="E71" s="4" t="s">
        <v>9</v>
      </c>
      <c r="F71" s="4" t="s">
        <v>206</v>
      </c>
      <c r="G71" s="4" t="s">
        <v>207</v>
      </c>
      <c r="H71" s="4" t="s">
        <v>204</v>
      </c>
    </row>
    <row r="72" spans="2:8">
      <c r="B72" s="4" t="s">
        <v>26</v>
      </c>
      <c r="C72" s="4" t="s">
        <v>26</v>
      </c>
      <c r="D72" s="4" t="s">
        <v>201</v>
      </c>
      <c r="E72" s="4" t="s">
        <v>9</v>
      </c>
      <c r="F72" s="4" t="s">
        <v>208</v>
      </c>
      <c r="G72" s="4" t="s">
        <v>209</v>
      </c>
      <c r="H72" s="4" t="s">
        <v>204</v>
      </c>
    </row>
    <row r="73" spans="2:8">
      <c r="B73" s="28">
        <v>40757687</v>
      </c>
      <c r="C73" s="28" t="s">
        <v>210</v>
      </c>
      <c r="D73" s="28" t="s">
        <v>201</v>
      </c>
      <c r="E73" s="28" t="s">
        <v>9</v>
      </c>
      <c r="F73" s="28" t="s">
        <v>211</v>
      </c>
      <c r="G73" s="28" t="s">
        <v>212</v>
      </c>
      <c r="H73" s="28" t="s">
        <v>204</v>
      </c>
    </row>
    <row r="74" spans="2:8">
      <c r="B74" s="4">
        <v>45877447</v>
      </c>
      <c r="C74" s="4" t="s">
        <v>213</v>
      </c>
      <c r="D74" s="4" t="s">
        <v>214</v>
      </c>
      <c r="E74" s="4" t="s">
        <v>9</v>
      </c>
      <c r="F74" s="4" t="s">
        <v>215</v>
      </c>
      <c r="G74" s="4" t="s">
        <v>216</v>
      </c>
      <c r="H74" s="4" t="s">
        <v>217</v>
      </c>
    </row>
    <row r="75" spans="2:8">
      <c r="B75" s="28">
        <v>3043205</v>
      </c>
      <c r="C75" s="28" t="s">
        <v>218</v>
      </c>
      <c r="D75" s="28" t="s">
        <v>214</v>
      </c>
      <c r="E75" s="28" t="s">
        <v>9</v>
      </c>
      <c r="F75" s="28" t="s">
        <v>219</v>
      </c>
      <c r="G75" s="28" t="s">
        <v>220</v>
      </c>
      <c r="H75" s="28" t="s">
        <v>217</v>
      </c>
    </row>
    <row r="76" spans="2:8">
      <c r="B76" s="4" t="s">
        <v>26</v>
      </c>
      <c r="C76" s="4" t="s">
        <v>26</v>
      </c>
      <c r="D76" s="4" t="s">
        <v>221</v>
      </c>
      <c r="E76" s="4" t="s">
        <v>9</v>
      </c>
      <c r="F76" s="4" t="s">
        <v>222</v>
      </c>
      <c r="G76" s="4" t="s">
        <v>223</v>
      </c>
      <c r="H76" s="4" t="s">
        <v>224</v>
      </c>
    </row>
    <row r="77" spans="2:8">
      <c r="B77" s="4" t="s">
        <v>26</v>
      </c>
      <c r="C77" s="4" t="s">
        <v>26</v>
      </c>
      <c r="D77" s="4" t="s">
        <v>225</v>
      </c>
      <c r="E77" s="4" t="s">
        <v>225</v>
      </c>
      <c r="F77" s="4" t="s">
        <v>226</v>
      </c>
      <c r="G77" s="4" t="s">
        <v>227</v>
      </c>
      <c r="H77" s="4" t="s">
        <v>224</v>
      </c>
    </row>
    <row r="78" spans="2:8">
      <c r="B78" s="4" t="s">
        <v>26</v>
      </c>
      <c r="C78" s="4" t="s">
        <v>118</v>
      </c>
      <c r="D78" s="4" t="s">
        <v>225</v>
      </c>
      <c r="E78" s="4" t="s">
        <v>225</v>
      </c>
      <c r="F78" s="4" t="s">
        <v>228</v>
      </c>
      <c r="G78" s="4" t="s">
        <v>229</v>
      </c>
      <c r="H78" s="4" t="s">
        <v>224</v>
      </c>
    </row>
    <row r="79" spans="2:8">
      <c r="B79" s="4">
        <v>1585347</v>
      </c>
      <c r="C79" s="4" t="s">
        <v>230</v>
      </c>
      <c r="D79" s="4" t="s">
        <v>225</v>
      </c>
      <c r="E79" s="4" t="s">
        <v>9</v>
      </c>
      <c r="F79" s="4" t="s">
        <v>231</v>
      </c>
      <c r="G79" s="4" t="s">
        <v>232</v>
      </c>
      <c r="H79" s="4" t="s">
        <v>224</v>
      </c>
    </row>
    <row r="80" spans="2:8">
      <c r="B80" s="4">
        <v>4052648</v>
      </c>
      <c r="C80" s="4" t="s">
        <v>233</v>
      </c>
      <c r="D80" s="4" t="s">
        <v>214</v>
      </c>
      <c r="E80" s="4" t="s">
        <v>9</v>
      </c>
      <c r="F80" s="4" t="s">
        <v>234</v>
      </c>
      <c r="G80" s="4" t="s">
        <v>235</v>
      </c>
      <c r="H80" s="4" t="s">
        <v>224</v>
      </c>
    </row>
    <row r="81" spans="2:8">
      <c r="B81" s="4">
        <v>4155450</v>
      </c>
      <c r="C81" s="4" t="s">
        <v>236</v>
      </c>
      <c r="D81" s="4" t="s">
        <v>214</v>
      </c>
      <c r="E81" s="4" t="s">
        <v>9</v>
      </c>
      <c r="F81" s="4" t="s">
        <v>237</v>
      </c>
      <c r="G81" s="4" t="s">
        <v>238</v>
      </c>
      <c r="H81" s="4" t="s">
        <v>224</v>
      </c>
    </row>
    <row r="82" spans="2:8">
      <c r="B82" s="28">
        <v>4052017</v>
      </c>
      <c r="C82" s="28" t="s">
        <v>239</v>
      </c>
      <c r="D82" s="28" t="s">
        <v>214</v>
      </c>
      <c r="E82" s="28" t="s">
        <v>9</v>
      </c>
      <c r="F82" s="28" t="s">
        <v>240</v>
      </c>
      <c r="G82" s="28" t="s">
        <v>241</v>
      </c>
      <c r="H82" s="28" t="s">
        <v>224</v>
      </c>
    </row>
    <row r="83" spans="2:8">
      <c r="B83" s="4" t="s">
        <v>26</v>
      </c>
      <c r="C83" s="4" t="s">
        <v>26</v>
      </c>
      <c r="D83" s="4" t="s">
        <v>242</v>
      </c>
      <c r="E83" s="4" t="s">
        <v>9</v>
      </c>
      <c r="F83" s="4" t="s">
        <v>243</v>
      </c>
      <c r="G83" s="4" t="s">
        <v>244</v>
      </c>
      <c r="H83" s="4" t="s">
        <v>245</v>
      </c>
    </row>
    <row r="84" spans="2:8">
      <c r="B84" s="4">
        <v>4237323</v>
      </c>
      <c r="C84" s="4" t="s">
        <v>146</v>
      </c>
      <c r="D84" s="4" t="s">
        <v>246</v>
      </c>
      <c r="E84" s="4" t="s">
        <v>9</v>
      </c>
      <c r="F84" s="4" t="s">
        <v>247</v>
      </c>
      <c r="G84" s="4" t="s">
        <v>148</v>
      </c>
      <c r="H84" s="4" t="s">
        <v>245</v>
      </c>
    </row>
    <row r="85" spans="2:8">
      <c r="B85" s="4">
        <v>4139252</v>
      </c>
      <c r="C85" s="4" t="s">
        <v>63</v>
      </c>
      <c r="D85" s="4" t="s">
        <v>246</v>
      </c>
      <c r="E85" s="4" t="s">
        <v>9</v>
      </c>
      <c r="F85" s="4" t="s">
        <v>248</v>
      </c>
      <c r="G85" s="4" t="s">
        <v>65</v>
      </c>
      <c r="H85" s="4" t="s">
        <v>245</v>
      </c>
    </row>
    <row r="86" spans="2:8">
      <c r="B86" s="4">
        <v>1620966</v>
      </c>
      <c r="C86" s="4" t="s">
        <v>35</v>
      </c>
      <c r="D86" s="4" t="s">
        <v>246</v>
      </c>
      <c r="E86" s="4" t="s">
        <v>36</v>
      </c>
      <c r="F86" s="4" t="s">
        <v>249</v>
      </c>
      <c r="G86" s="4" t="s">
        <v>38</v>
      </c>
      <c r="H86" s="4" t="s">
        <v>245</v>
      </c>
    </row>
    <row r="87" spans="2:8">
      <c r="B87" s="4">
        <v>4019826</v>
      </c>
      <c r="C87" s="4" t="s">
        <v>75</v>
      </c>
      <c r="D87" s="4" t="s">
        <v>246</v>
      </c>
      <c r="E87" s="4" t="s">
        <v>9</v>
      </c>
      <c r="F87" s="4" t="s">
        <v>250</v>
      </c>
      <c r="G87" s="4" t="s">
        <v>251</v>
      </c>
      <c r="H87" s="4" t="s">
        <v>245</v>
      </c>
    </row>
    <row r="88" spans="2:8">
      <c r="B88" s="4">
        <v>4148671</v>
      </c>
      <c r="C88" s="4" t="s">
        <v>72</v>
      </c>
      <c r="D88" s="4" t="s">
        <v>246</v>
      </c>
      <c r="E88" s="4" t="s">
        <v>9</v>
      </c>
      <c r="F88" s="4" t="s">
        <v>252</v>
      </c>
      <c r="G88" s="4" t="s">
        <v>253</v>
      </c>
      <c r="H88" s="4" t="s">
        <v>245</v>
      </c>
    </row>
    <row r="89" spans="2:8">
      <c r="B89" s="28">
        <v>44795391</v>
      </c>
      <c r="C89" s="28" t="s">
        <v>45</v>
      </c>
      <c r="D89" s="28" t="s">
        <v>246</v>
      </c>
      <c r="E89" s="28" t="s">
        <v>46</v>
      </c>
      <c r="F89" s="28" t="s">
        <v>254</v>
      </c>
      <c r="G89" s="28" t="s">
        <v>255</v>
      </c>
      <c r="H89" s="28" t="s">
        <v>245</v>
      </c>
    </row>
    <row r="90" spans="2:8">
      <c r="B90" s="4" t="s">
        <v>26</v>
      </c>
      <c r="C90" s="4" t="s">
        <v>118</v>
      </c>
      <c r="D90" s="4" t="s">
        <v>256</v>
      </c>
      <c r="E90" s="4" t="s">
        <v>9</v>
      </c>
      <c r="F90" s="4" t="s">
        <v>257</v>
      </c>
      <c r="G90" s="4" t="s">
        <v>159</v>
      </c>
      <c r="H90" s="4" t="s">
        <v>258</v>
      </c>
    </row>
    <row r="91" spans="2:8">
      <c r="B91" s="4">
        <v>4047220</v>
      </c>
      <c r="C91" s="4" t="s">
        <v>259</v>
      </c>
      <c r="D91" s="4" t="s">
        <v>260</v>
      </c>
      <c r="E91" s="4" t="s">
        <v>9</v>
      </c>
      <c r="F91" s="4" t="s">
        <v>261</v>
      </c>
      <c r="G91" s="4" t="s">
        <v>262</v>
      </c>
      <c r="H91" s="4" t="s">
        <v>258</v>
      </c>
    </row>
    <row r="92" spans="2:8">
      <c r="B92" s="28" t="s">
        <v>26</v>
      </c>
      <c r="C92" s="28" t="s">
        <v>26</v>
      </c>
      <c r="D92" s="28" t="s">
        <v>256</v>
      </c>
      <c r="E92" s="28" t="s">
        <v>9</v>
      </c>
      <c r="F92" s="28" t="s">
        <v>263</v>
      </c>
      <c r="G92" s="28" t="s">
        <v>264</v>
      </c>
      <c r="H92" s="28" t="s">
        <v>258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3A01-0ACD-45C4-8307-B4B6F4629AAD}">
  <dimension ref="B2:G288"/>
  <sheetViews>
    <sheetView tabSelected="1" workbookViewId="0">
      <pane ySplit="2" topLeftCell="A3" activePane="bottomLeft" state="frozen"/>
      <selection pane="bottomLeft" activeCell="E13" sqref="E13"/>
    </sheetView>
  </sheetViews>
  <sheetFormatPr defaultColWidth="8.7109375" defaultRowHeight="15"/>
  <cols>
    <col min="1" max="1" width="3.7109375" customWidth="1"/>
    <col min="2" max="2" width="11.140625" style="21" bestFit="1" customWidth="1"/>
    <col min="3" max="3" width="41.85546875" customWidth="1"/>
    <col min="4" max="4" width="18.5703125" customWidth="1"/>
    <col min="5" max="5" width="29.7109375" bestFit="1" customWidth="1"/>
    <col min="6" max="6" width="25.7109375" bestFit="1" customWidth="1"/>
    <col min="7" max="7" width="32.85546875" customWidth="1"/>
    <col min="11" max="11" width="28.140625" bestFit="1" customWidth="1"/>
  </cols>
  <sheetData>
    <row r="2" spans="2:7">
      <c r="B2" s="18" t="s">
        <v>0</v>
      </c>
      <c r="C2" s="2" t="s">
        <v>265</v>
      </c>
      <c r="D2" s="3" t="s">
        <v>3</v>
      </c>
      <c r="E2" s="2" t="s">
        <v>266</v>
      </c>
      <c r="F2" s="2" t="s">
        <v>267</v>
      </c>
      <c r="G2" s="11" t="s">
        <v>268</v>
      </c>
    </row>
    <row r="3" spans="2:7">
      <c r="B3" s="19">
        <v>45879080</v>
      </c>
      <c r="C3" s="8" t="s">
        <v>269</v>
      </c>
      <c r="D3" s="8" t="str" cm="1">
        <f t="array" ref="D3">INDEX(Fields!E:E, MATCH(1, (Fields!H:H=E3)*(Fields!F:F=F3), 0))</f>
        <v>observation</v>
      </c>
      <c r="E3" s="4" t="s">
        <v>195</v>
      </c>
      <c r="F3" s="4" t="s">
        <v>194</v>
      </c>
      <c r="G3" s="6" t="s">
        <v>270</v>
      </c>
    </row>
    <row r="4" spans="2:7">
      <c r="B4" s="19">
        <v>37019469</v>
      </c>
      <c r="C4" s="8" t="s">
        <v>271</v>
      </c>
      <c r="D4" s="8" t="str" cm="1">
        <f t="array" ref="D4">INDEX(Fields!E:E, MATCH(1, (Fields!H:H=E4)*(Fields!F:F=F4), 0))</f>
        <v>observation</v>
      </c>
      <c r="E4" s="4" t="s">
        <v>195</v>
      </c>
      <c r="F4" s="4" t="s">
        <v>194</v>
      </c>
      <c r="G4" s="6" t="s">
        <v>272</v>
      </c>
    </row>
    <row r="5" spans="2:7">
      <c r="B5" s="19">
        <v>45879080</v>
      </c>
      <c r="C5" s="8" t="s">
        <v>269</v>
      </c>
      <c r="D5" s="8" t="str" cm="1">
        <f t="array" ref="D5">INDEX(Fields!E:E, MATCH(1, (Fields!H:H=E5)*(Fields!F:F=F5), 0))</f>
        <v>observation</v>
      </c>
      <c r="E5" s="4" t="s">
        <v>195</v>
      </c>
      <c r="F5" s="4" t="s">
        <v>194</v>
      </c>
      <c r="G5" s="6" t="s">
        <v>269</v>
      </c>
    </row>
    <row r="6" spans="2:7">
      <c r="B6" s="20">
        <v>37019469</v>
      </c>
      <c r="C6" s="25" t="s">
        <v>271</v>
      </c>
      <c r="D6" s="25" t="str" cm="1">
        <f t="array" ref="D6">INDEX(Fields!E:E, MATCH(1, (Fields!H:H=E6)*(Fields!F:F=F6), 0))</f>
        <v>observation</v>
      </c>
      <c r="E6" s="28" t="s">
        <v>195</v>
      </c>
      <c r="F6" s="5" t="s">
        <v>194</v>
      </c>
      <c r="G6" s="7" t="s">
        <v>273</v>
      </c>
    </row>
    <row r="7" spans="2:7">
      <c r="B7" s="9">
        <v>46237191</v>
      </c>
      <c r="C7" s="9" t="s">
        <v>274</v>
      </c>
      <c r="D7" s="8" t="str" cm="1">
        <f t="array" ref="D7">INDEX(Fields!E:E, MATCH(1, (Fields!H:H=E7)*(Fields!F:F=F7), 0))</f>
        <v>observation</v>
      </c>
      <c r="E7" s="4" t="s">
        <v>258</v>
      </c>
      <c r="F7" s="4" t="s">
        <v>257</v>
      </c>
      <c r="G7" s="6" t="s">
        <v>275</v>
      </c>
    </row>
    <row r="8" spans="2:7">
      <c r="B8" s="9">
        <v>4052648</v>
      </c>
      <c r="C8" s="9" t="s">
        <v>233</v>
      </c>
      <c r="D8" s="8" t="str" cm="1">
        <f t="array" ref="D8">INDEX(Fields!E:E, MATCH(1, (Fields!H:H=E8)*(Fields!F:F=F8), 0))</f>
        <v>observation</v>
      </c>
      <c r="E8" s="4" t="s">
        <v>258</v>
      </c>
      <c r="F8" s="4" t="s">
        <v>257</v>
      </c>
      <c r="G8" s="6" t="s">
        <v>276</v>
      </c>
    </row>
    <row r="9" spans="2:7">
      <c r="B9" s="9">
        <v>4142972</v>
      </c>
      <c r="C9" s="9" t="s">
        <v>277</v>
      </c>
      <c r="D9" s="8" t="str" cm="1">
        <f t="array" ref="D9">INDEX(Fields!E:E, MATCH(1, (Fields!H:H=E9)*(Fields!F:F=F9), 0))</f>
        <v>observation</v>
      </c>
      <c r="E9" s="4" t="s">
        <v>258</v>
      </c>
      <c r="F9" s="4" t="s">
        <v>257</v>
      </c>
      <c r="G9" s="6" t="s">
        <v>278</v>
      </c>
    </row>
    <row r="10" spans="2:7">
      <c r="B10" s="9">
        <v>36717118</v>
      </c>
      <c r="C10" s="9" t="s">
        <v>279</v>
      </c>
      <c r="D10" s="8" t="str" cm="1">
        <f t="array" ref="D10">INDEX(Fields!E:E, MATCH(1, (Fields!H:H=E10)*(Fields!F:F=F10), 0))</f>
        <v>observation</v>
      </c>
      <c r="E10" s="4" t="s">
        <v>258</v>
      </c>
      <c r="F10" s="4" t="s">
        <v>257</v>
      </c>
      <c r="G10" s="6" t="s">
        <v>280</v>
      </c>
    </row>
    <row r="11" spans="2:7">
      <c r="B11" s="19">
        <v>4094126</v>
      </c>
      <c r="C11" s="9" t="s">
        <v>281</v>
      </c>
      <c r="D11" s="8" t="str" cm="1">
        <f t="array" ref="D11">INDEX(Fields!E:E, MATCH(1, (Fields!H:H=E11)*(Fields!F:F=F11), 0))</f>
        <v>observation</v>
      </c>
      <c r="E11" s="4" t="s">
        <v>258</v>
      </c>
      <c r="F11" s="4" t="s">
        <v>257</v>
      </c>
      <c r="G11" s="6" t="s">
        <v>282</v>
      </c>
    </row>
    <row r="12" spans="2:7">
      <c r="B12" s="9">
        <v>4246609</v>
      </c>
      <c r="C12" s="9" t="s">
        <v>283</v>
      </c>
      <c r="D12" s="8" t="str" cm="1">
        <f t="array" ref="D12">INDEX(Fields!E:E, MATCH(1, (Fields!H:H=E12)*(Fields!F:F=F12), 0))</f>
        <v>observation</v>
      </c>
      <c r="E12" s="4" t="s">
        <v>258</v>
      </c>
      <c r="F12" s="4" t="s">
        <v>257</v>
      </c>
      <c r="G12" s="6" t="s">
        <v>284</v>
      </c>
    </row>
    <row r="13" spans="2:7">
      <c r="B13" s="9">
        <v>4310138</v>
      </c>
      <c r="C13" s="9" t="s">
        <v>285</v>
      </c>
      <c r="D13" s="8" t="str" cm="1">
        <f t="array" ref="D13">INDEX(Fields!E:E, MATCH(1, (Fields!H:H=E13)*(Fields!F:F=F13), 0))</f>
        <v>observation</v>
      </c>
      <c r="E13" s="4" t="s">
        <v>258</v>
      </c>
      <c r="F13" s="4" t="s">
        <v>257</v>
      </c>
      <c r="G13" s="6" t="s">
        <v>286</v>
      </c>
    </row>
    <row r="14" spans="2:7">
      <c r="B14" s="9">
        <v>4247382</v>
      </c>
      <c r="C14" s="9" t="s">
        <v>287</v>
      </c>
      <c r="D14" s="8" t="str" cm="1">
        <f t="array" ref="D14">INDEX(Fields!E:E, MATCH(1, (Fields!H:H=E14)*(Fields!F:F=F14), 0))</f>
        <v>observation</v>
      </c>
      <c r="E14" s="4" t="s">
        <v>258</v>
      </c>
      <c r="F14" s="4" t="s">
        <v>257</v>
      </c>
      <c r="G14" s="6" t="s">
        <v>288</v>
      </c>
    </row>
    <row r="15" spans="2:7">
      <c r="B15" s="9">
        <v>45885208</v>
      </c>
      <c r="C15" s="9" t="s">
        <v>289</v>
      </c>
      <c r="D15" s="8" t="str" cm="1">
        <f t="array" ref="D15">INDEX(Fields!E:E, MATCH(1, (Fields!H:H=E15)*(Fields!F:F=F15), 0))</f>
        <v>observation</v>
      </c>
      <c r="E15" s="4" t="s">
        <v>258</v>
      </c>
      <c r="F15" s="4" t="s">
        <v>257</v>
      </c>
      <c r="G15" s="6" t="s">
        <v>290</v>
      </c>
    </row>
    <row r="16" spans="2:7">
      <c r="B16" s="10">
        <v>36308455</v>
      </c>
      <c r="C16" s="30" t="s">
        <v>291</v>
      </c>
      <c r="D16" s="25" t="str" cm="1">
        <f t="array" ref="D16">INDEX(Fields!E:E, MATCH(1, (Fields!H:H=E16)*(Fields!F:F=F16), 0))</f>
        <v>observation</v>
      </c>
      <c r="E16" s="28" t="s">
        <v>258</v>
      </c>
      <c r="F16" s="5" t="s">
        <v>257</v>
      </c>
      <c r="G16" s="7" t="s">
        <v>292</v>
      </c>
    </row>
    <row r="17" spans="2:7">
      <c r="B17" s="9">
        <v>46237191</v>
      </c>
      <c r="C17" s="9" t="s">
        <v>274</v>
      </c>
      <c r="D17" s="8" t="str" cm="1">
        <f t="array" ref="D17">INDEX(Fields!E:E, MATCH(1, (Fields!H:H=E17)*(Fields!F:F=F17), 0))</f>
        <v>observation</v>
      </c>
      <c r="E17" s="4" t="s">
        <v>160</v>
      </c>
      <c r="F17" s="4" t="s">
        <v>158</v>
      </c>
      <c r="G17" s="6" t="s">
        <v>275</v>
      </c>
    </row>
    <row r="18" spans="2:7">
      <c r="B18" s="9">
        <v>4052648</v>
      </c>
      <c r="C18" s="9" t="s">
        <v>233</v>
      </c>
      <c r="D18" s="8" t="str" cm="1">
        <f t="array" ref="D18">INDEX(Fields!E:E, MATCH(1, (Fields!H:H=E18)*(Fields!F:F=F18), 0))</f>
        <v>observation</v>
      </c>
      <c r="E18" s="4" t="s">
        <v>160</v>
      </c>
      <c r="F18" s="4" t="s">
        <v>158</v>
      </c>
      <c r="G18" s="6" t="s">
        <v>276</v>
      </c>
    </row>
    <row r="19" spans="2:7">
      <c r="B19" s="9">
        <v>4142972</v>
      </c>
      <c r="C19" s="9" t="s">
        <v>277</v>
      </c>
      <c r="D19" s="8" t="str" cm="1">
        <f t="array" ref="D19">INDEX(Fields!E:E, MATCH(1, (Fields!H:H=E19)*(Fields!F:F=F19), 0))</f>
        <v>observation</v>
      </c>
      <c r="E19" s="4" t="s">
        <v>160</v>
      </c>
      <c r="F19" s="4" t="s">
        <v>158</v>
      </c>
      <c r="G19" s="6" t="s">
        <v>278</v>
      </c>
    </row>
    <row r="20" spans="2:7">
      <c r="B20" s="9">
        <v>36717118</v>
      </c>
      <c r="C20" s="9" t="s">
        <v>279</v>
      </c>
      <c r="D20" s="8" t="str" cm="1">
        <f t="array" ref="D20">INDEX(Fields!E:E, MATCH(1, (Fields!H:H=E20)*(Fields!F:F=F20), 0))</f>
        <v>observation</v>
      </c>
      <c r="E20" s="4" t="s">
        <v>160</v>
      </c>
      <c r="F20" s="4" t="s">
        <v>158</v>
      </c>
      <c r="G20" s="6" t="s">
        <v>280</v>
      </c>
    </row>
    <row r="21" spans="2:7">
      <c r="B21" s="19">
        <v>4094126</v>
      </c>
      <c r="C21" s="9" t="s">
        <v>281</v>
      </c>
      <c r="D21" s="8" t="str" cm="1">
        <f t="array" ref="D21">INDEX(Fields!E:E, MATCH(1, (Fields!H:H=E21)*(Fields!F:F=F21), 0))</f>
        <v>observation</v>
      </c>
      <c r="E21" s="4" t="s">
        <v>160</v>
      </c>
      <c r="F21" s="4" t="s">
        <v>158</v>
      </c>
      <c r="G21" s="6" t="s">
        <v>282</v>
      </c>
    </row>
    <row r="22" spans="2:7">
      <c r="B22" s="9">
        <v>4246609</v>
      </c>
      <c r="C22" s="9" t="s">
        <v>283</v>
      </c>
      <c r="D22" s="8" t="str" cm="1">
        <f t="array" ref="D22">INDEX(Fields!E:E, MATCH(1, (Fields!H:H=E22)*(Fields!F:F=F22), 0))</f>
        <v>observation</v>
      </c>
      <c r="E22" s="4" t="s">
        <v>160</v>
      </c>
      <c r="F22" s="4" t="s">
        <v>158</v>
      </c>
      <c r="G22" s="6" t="s">
        <v>284</v>
      </c>
    </row>
    <row r="23" spans="2:7">
      <c r="B23" s="9">
        <v>4310138</v>
      </c>
      <c r="C23" s="9" t="s">
        <v>285</v>
      </c>
      <c r="D23" s="8" t="str" cm="1">
        <f t="array" ref="D23">INDEX(Fields!E:E, MATCH(1, (Fields!H:H=E23)*(Fields!F:F=F23), 0))</f>
        <v>observation</v>
      </c>
      <c r="E23" s="4" t="s">
        <v>160</v>
      </c>
      <c r="F23" s="4" t="s">
        <v>158</v>
      </c>
      <c r="G23" s="6" t="s">
        <v>286</v>
      </c>
    </row>
    <row r="24" spans="2:7">
      <c r="B24" s="9">
        <v>4247382</v>
      </c>
      <c r="C24" s="9" t="s">
        <v>287</v>
      </c>
      <c r="D24" s="8" t="str" cm="1">
        <f t="array" ref="D24">INDEX(Fields!E:E, MATCH(1, (Fields!H:H=E24)*(Fields!F:F=F24), 0))</f>
        <v>observation</v>
      </c>
      <c r="E24" s="4" t="s">
        <v>160</v>
      </c>
      <c r="F24" s="4" t="s">
        <v>158</v>
      </c>
      <c r="G24" s="6" t="s">
        <v>288</v>
      </c>
    </row>
    <row r="25" spans="2:7">
      <c r="B25" s="9">
        <v>45885208</v>
      </c>
      <c r="C25" s="9" t="s">
        <v>289</v>
      </c>
      <c r="D25" s="8" t="str" cm="1">
        <f t="array" ref="D25">INDEX(Fields!E:E, MATCH(1, (Fields!H:H=E25)*(Fields!F:F=F25), 0))</f>
        <v>observation</v>
      </c>
      <c r="E25" s="4" t="s">
        <v>160</v>
      </c>
      <c r="F25" s="4" t="s">
        <v>158</v>
      </c>
      <c r="G25" s="6" t="s">
        <v>290</v>
      </c>
    </row>
    <row r="26" spans="2:7">
      <c r="B26" s="10">
        <v>36308455</v>
      </c>
      <c r="C26" s="30" t="s">
        <v>291</v>
      </c>
      <c r="D26" s="25" t="str" cm="1">
        <f t="array" ref="D26">INDEX(Fields!E:E, MATCH(1, (Fields!H:H=E26)*(Fields!F:F=F26), 0))</f>
        <v>observation</v>
      </c>
      <c r="E26" s="28" t="s">
        <v>160</v>
      </c>
      <c r="F26" s="5" t="s">
        <v>158</v>
      </c>
      <c r="G26" s="7" t="s">
        <v>292</v>
      </c>
    </row>
    <row r="27" spans="2:7">
      <c r="B27" s="9">
        <v>4050948</v>
      </c>
      <c r="C27" s="9" t="s">
        <v>293</v>
      </c>
      <c r="D27" s="8" t="str" cm="1">
        <f t="array" ref="D27">INDEX(Fields!E:E, MATCH(1, (Fields!H:H=E27)*(Fields!F:F=F27), 0))</f>
        <v>observation</v>
      </c>
      <c r="E27" s="4" t="s">
        <v>160</v>
      </c>
      <c r="F27" s="4" t="s">
        <v>162</v>
      </c>
      <c r="G27" s="6" t="s">
        <v>294</v>
      </c>
    </row>
    <row r="28" spans="2:7">
      <c r="B28" s="9">
        <v>4050948</v>
      </c>
      <c r="C28" s="9" t="s">
        <v>293</v>
      </c>
      <c r="D28" s="8" t="str" cm="1">
        <f t="array" ref="D28">INDEX(Fields!E:E, MATCH(1, (Fields!H:H=E28)*(Fields!F:F=F28), 0))</f>
        <v>observation</v>
      </c>
      <c r="E28" s="4" t="s">
        <v>160</v>
      </c>
      <c r="F28" s="4" t="s">
        <v>162</v>
      </c>
      <c r="G28" s="6" t="s">
        <v>295</v>
      </c>
    </row>
    <row r="29" spans="2:7">
      <c r="B29" s="9">
        <v>4072594</v>
      </c>
      <c r="C29" s="9" t="s">
        <v>296</v>
      </c>
      <c r="D29" s="8" t="str" cm="1">
        <f t="array" ref="D29">INDEX(Fields!E:E, MATCH(1, (Fields!H:H=E29)*(Fields!F:F=F29), 0))</f>
        <v>observation</v>
      </c>
      <c r="E29" s="4" t="s">
        <v>160</v>
      </c>
      <c r="F29" s="4" t="s">
        <v>162</v>
      </c>
      <c r="G29" s="6" t="s">
        <v>297</v>
      </c>
    </row>
    <row r="30" spans="2:7">
      <c r="B30" s="9">
        <v>45880009</v>
      </c>
      <c r="C30" s="9" t="s">
        <v>298</v>
      </c>
      <c r="D30" s="8" t="str" cm="1">
        <f t="array" ref="D30">INDEX(Fields!E:E, MATCH(1, (Fields!H:H=E30)*(Fields!F:F=F30), 0))</f>
        <v>observation</v>
      </c>
      <c r="E30" s="4" t="s">
        <v>160</v>
      </c>
      <c r="F30" s="4" t="s">
        <v>162</v>
      </c>
      <c r="G30" s="6" t="s">
        <v>299</v>
      </c>
    </row>
    <row r="31" spans="2:7">
      <c r="B31" s="9">
        <v>4072594</v>
      </c>
      <c r="C31" s="9" t="s">
        <v>296</v>
      </c>
      <c r="D31" s="8" t="str" cm="1">
        <f t="array" ref="D31">INDEX(Fields!E:E, MATCH(1, (Fields!H:H=E31)*(Fields!F:F=F31), 0))</f>
        <v>observation</v>
      </c>
      <c r="E31" s="4" t="s">
        <v>160</v>
      </c>
      <c r="F31" s="4" t="s">
        <v>162</v>
      </c>
      <c r="G31" s="6" t="s">
        <v>300</v>
      </c>
    </row>
    <row r="32" spans="2:7">
      <c r="B32" s="9">
        <v>4052611</v>
      </c>
      <c r="C32" s="9" t="s">
        <v>301</v>
      </c>
      <c r="D32" s="8" t="str" cm="1">
        <f t="array" ref="D32">INDEX(Fields!E:E, MATCH(1, (Fields!H:H=E32)*(Fields!F:F=F32), 0))</f>
        <v>observation</v>
      </c>
      <c r="E32" s="4" t="s">
        <v>160</v>
      </c>
      <c r="F32" s="4" t="s">
        <v>162</v>
      </c>
      <c r="G32" s="6" t="s">
        <v>302</v>
      </c>
    </row>
    <row r="33" spans="2:7">
      <c r="B33" s="9">
        <v>4052186</v>
      </c>
      <c r="C33" s="9" t="s">
        <v>303</v>
      </c>
      <c r="D33" s="8" t="str" cm="1">
        <f t="array" ref="D33">INDEX(Fields!E:E, MATCH(1, (Fields!H:H=E33)*(Fields!F:F=F33), 0))</f>
        <v>observation</v>
      </c>
      <c r="E33" s="4" t="s">
        <v>160</v>
      </c>
      <c r="F33" s="4" t="s">
        <v>162</v>
      </c>
      <c r="G33" s="6" t="s">
        <v>304</v>
      </c>
    </row>
    <row r="34" spans="2:7">
      <c r="B34" s="9">
        <v>4074459</v>
      </c>
      <c r="C34" s="9" t="s">
        <v>305</v>
      </c>
      <c r="D34" s="8" t="str" cm="1">
        <f t="array" ref="D34">INDEX(Fields!E:E, MATCH(1, (Fields!H:H=E34)*(Fields!F:F=F34), 0))</f>
        <v>observation</v>
      </c>
      <c r="E34" s="4" t="s">
        <v>160</v>
      </c>
      <c r="F34" s="4" t="s">
        <v>162</v>
      </c>
      <c r="G34" s="6" t="s">
        <v>306</v>
      </c>
    </row>
    <row r="35" spans="2:7">
      <c r="B35" s="9">
        <v>4072594</v>
      </c>
      <c r="C35" s="9" t="s">
        <v>296</v>
      </c>
      <c r="D35" s="8" t="str" cm="1">
        <f t="array" ref="D35">INDEX(Fields!E:E, MATCH(1, (Fields!H:H=E35)*(Fields!F:F=F35), 0))</f>
        <v>observation</v>
      </c>
      <c r="E35" s="4" t="s">
        <v>160</v>
      </c>
      <c r="F35" s="4" t="s">
        <v>162</v>
      </c>
      <c r="G35" s="6" t="s">
        <v>307</v>
      </c>
    </row>
    <row r="36" spans="2:7">
      <c r="B36" s="9">
        <v>4072594</v>
      </c>
      <c r="C36" s="9" t="s">
        <v>296</v>
      </c>
      <c r="D36" s="8" t="str" cm="1">
        <f t="array" ref="D36">INDEX(Fields!E:E, MATCH(1, (Fields!H:H=E36)*(Fields!F:F=F36), 0))</f>
        <v>observation</v>
      </c>
      <c r="E36" s="4" t="s">
        <v>160</v>
      </c>
      <c r="F36" s="4" t="s">
        <v>162</v>
      </c>
      <c r="G36" s="6" t="s">
        <v>308</v>
      </c>
    </row>
    <row r="37" spans="2:7">
      <c r="B37" s="9">
        <v>45885208</v>
      </c>
      <c r="C37" s="9" t="s">
        <v>289</v>
      </c>
      <c r="D37" s="8" t="str" cm="1">
        <f t="array" ref="D37">INDEX(Fields!E:E, MATCH(1, (Fields!H:H=E37)*(Fields!F:F=F37), 0))</f>
        <v>observation</v>
      </c>
      <c r="E37" s="4" t="s">
        <v>160</v>
      </c>
      <c r="F37" s="4" t="s">
        <v>162</v>
      </c>
      <c r="G37" s="6" t="s">
        <v>309</v>
      </c>
    </row>
    <row r="38" spans="2:7">
      <c r="B38" s="10">
        <v>4123199</v>
      </c>
      <c r="C38" s="30" t="s">
        <v>310</v>
      </c>
      <c r="D38" s="25" t="str" cm="1">
        <f t="array" ref="D38">INDEX(Fields!E:E, MATCH(1, (Fields!H:H=E38)*(Fields!F:F=F38), 0))</f>
        <v>observation</v>
      </c>
      <c r="E38" s="28" t="s">
        <v>160</v>
      </c>
      <c r="F38" s="5" t="s">
        <v>162</v>
      </c>
      <c r="G38" s="7" t="s">
        <v>311</v>
      </c>
    </row>
    <row r="39" spans="2:7">
      <c r="B39" s="21">
        <v>44791610</v>
      </c>
      <c r="C39" s="8" t="s">
        <v>312</v>
      </c>
      <c r="D39" s="8" t="str" cm="1">
        <f t="array" ref="D39">INDEX(Fields!E:E, MATCH(1, (Fields!H:H=E39)*(Fields!F:F=F39), 0))</f>
        <v>observation</v>
      </c>
      <c r="E39" s="4" t="s">
        <v>160</v>
      </c>
      <c r="F39" s="4" t="s">
        <v>170</v>
      </c>
      <c r="G39" s="6" t="s">
        <v>313</v>
      </c>
    </row>
    <row r="40" spans="2:7">
      <c r="B40" s="21">
        <v>44791609</v>
      </c>
      <c r="C40" s="8" t="s">
        <v>314</v>
      </c>
      <c r="D40" s="8" t="str" cm="1">
        <f t="array" ref="D40">INDEX(Fields!E:E, MATCH(1, (Fields!H:H=E40)*(Fields!F:F=F40), 0))</f>
        <v>observation</v>
      </c>
      <c r="E40" s="4" t="s">
        <v>160</v>
      </c>
      <c r="F40" s="4" t="s">
        <v>170</v>
      </c>
      <c r="G40" s="6" t="s">
        <v>315</v>
      </c>
    </row>
    <row r="41" spans="2:7">
      <c r="B41" s="19">
        <v>4022052</v>
      </c>
      <c r="C41" s="8" t="s">
        <v>316</v>
      </c>
      <c r="D41" s="8" t="str" cm="1">
        <f t="array" ref="D41">INDEX(Fields!E:E, MATCH(1, (Fields!H:H=E41)*(Fields!F:F=F41), 0))</f>
        <v>observation</v>
      </c>
      <c r="E41" s="4" t="s">
        <v>160</v>
      </c>
      <c r="F41" s="4" t="s">
        <v>170</v>
      </c>
      <c r="G41" s="6" t="s">
        <v>317</v>
      </c>
    </row>
    <row r="42" spans="2:7">
      <c r="B42" s="21">
        <v>4332295</v>
      </c>
      <c r="C42" s="8" t="s">
        <v>318</v>
      </c>
      <c r="D42" s="8" t="str" cm="1">
        <f t="array" ref="D42">INDEX(Fields!E:E, MATCH(1, (Fields!H:H=E42)*(Fields!F:F=F42), 0))</f>
        <v>observation</v>
      </c>
      <c r="E42" s="4" t="s">
        <v>160</v>
      </c>
      <c r="F42" s="4" t="s">
        <v>170</v>
      </c>
      <c r="G42" s="6" t="s">
        <v>319</v>
      </c>
    </row>
    <row r="43" spans="2:7">
      <c r="B43" s="21">
        <v>44810618</v>
      </c>
      <c r="C43" s="8" t="s">
        <v>320</v>
      </c>
      <c r="D43" s="8" t="str" cm="1">
        <f t="array" ref="D43">INDEX(Fields!E:E, MATCH(1, (Fields!H:H=E43)*(Fields!F:F=F43), 0))</f>
        <v>observation</v>
      </c>
      <c r="E43" s="4" t="s">
        <v>160</v>
      </c>
      <c r="F43" s="4" t="s">
        <v>170</v>
      </c>
      <c r="G43" s="6" t="s">
        <v>321</v>
      </c>
    </row>
    <row r="44" spans="2:7">
      <c r="B44" s="22">
        <v>44810618</v>
      </c>
      <c r="C44" s="25" t="s">
        <v>322</v>
      </c>
      <c r="D44" s="25" t="str" cm="1">
        <f t="array" ref="D44">INDEX(Fields!E:E, MATCH(1, (Fields!H:H=E44)*(Fields!F:F=F44), 0))</f>
        <v>observation</v>
      </c>
      <c r="E44" s="28" t="s">
        <v>160</v>
      </c>
      <c r="F44" s="5" t="s">
        <v>170</v>
      </c>
      <c r="G44" s="7" t="s">
        <v>323</v>
      </c>
    </row>
    <row r="45" spans="2:7">
      <c r="B45" s="21">
        <v>46273928</v>
      </c>
      <c r="C45" s="8" t="s">
        <v>324</v>
      </c>
      <c r="D45" s="8" t="str" cm="1">
        <f t="array" ref="D45">INDEX(Fields!E:E, MATCH(1, (Fields!H:H=E45)*(Fields!F:F=F45), 0))</f>
        <v>observation</v>
      </c>
      <c r="E45" s="4" t="s">
        <v>95</v>
      </c>
      <c r="F45" s="4" t="s">
        <v>119</v>
      </c>
      <c r="G45" s="6" t="s">
        <v>325</v>
      </c>
    </row>
    <row r="46" spans="2:7">
      <c r="B46" s="21">
        <v>46271604</v>
      </c>
      <c r="C46" s="8" t="s">
        <v>326</v>
      </c>
      <c r="D46" s="8" t="str" cm="1">
        <f t="array" ref="D46">INDEX(Fields!E:E, MATCH(1, (Fields!H:H=E46)*(Fields!F:F=F46), 0))</f>
        <v>observation</v>
      </c>
      <c r="E46" s="4" t="s">
        <v>95</v>
      </c>
      <c r="F46" s="4" t="s">
        <v>119</v>
      </c>
      <c r="G46" s="6" t="s">
        <v>327</v>
      </c>
    </row>
    <row r="47" spans="2:7">
      <c r="B47" s="21">
        <v>46271604</v>
      </c>
      <c r="C47" s="8" t="s">
        <v>326</v>
      </c>
      <c r="D47" s="8" t="str" cm="1">
        <f t="array" ref="D47">INDEX(Fields!E:E, MATCH(1, (Fields!H:H=E47)*(Fields!F:F=F47), 0))</f>
        <v>observation</v>
      </c>
      <c r="E47" s="4" t="s">
        <v>95</v>
      </c>
      <c r="F47" s="4" t="s">
        <v>119</v>
      </c>
      <c r="G47" s="6" t="s">
        <v>328</v>
      </c>
    </row>
    <row r="48" spans="2:7">
      <c r="B48" s="21">
        <v>46271601</v>
      </c>
      <c r="C48" s="8" t="s">
        <v>329</v>
      </c>
      <c r="D48" s="8" t="str" cm="1">
        <f t="array" ref="D48">INDEX(Fields!E:E, MATCH(1, (Fields!H:H=E48)*(Fields!F:F=F48), 0))</f>
        <v>observation</v>
      </c>
      <c r="E48" s="4" t="s">
        <v>95</v>
      </c>
      <c r="F48" s="4" t="s">
        <v>119</v>
      </c>
      <c r="G48" s="6" t="s">
        <v>330</v>
      </c>
    </row>
    <row r="49" spans="2:7">
      <c r="B49" s="21">
        <v>607649</v>
      </c>
      <c r="C49" s="8" t="s">
        <v>331</v>
      </c>
      <c r="D49" s="8" t="str" cm="1">
        <f t="array" ref="D49">INDEX(Fields!E:E, MATCH(1, (Fields!H:H=E49)*(Fields!F:F=F49), 0))</f>
        <v>observation</v>
      </c>
      <c r="E49" s="4" t="s">
        <v>95</v>
      </c>
      <c r="F49" s="4" t="s">
        <v>119</v>
      </c>
      <c r="G49" s="6" t="s">
        <v>332</v>
      </c>
    </row>
    <row r="50" spans="2:7">
      <c r="B50" s="21">
        <v>4073054</v>
      </c>
      <c r="C50" s="8" t="s">
        <v>333</v>
      </c>
      <c r="D50" s="8" t="str" cm="1">
        <f t="array" ref="D50">INDEX(Fields!E:E, MATCH(1, (Fields!H:H=E50)*(Fields!F:F=F50), 0))</f>
        <v>observation</v>
      </c>
      <c r="E50" s="4" t="s">
        <v>95</v>
      </c>
      <c r="F50" s="4" t="s">
        <v>119</v>
      </c>
      <c r="G50" s="6" t="s">
        <v>334</v>
      </c>
    </row>
    <row r="51" spans="2:7">
      <c r="B51" s="21">
        <v>607649</v>
      </c>
      <c r="C51" s="8" t="s">
        <v>331</v>
      </c>
      <c r="D51" s="8" t="str" cm="1">
        <f t="array" ref="D51">INDEX(Fields!E:E, MATCH(1, (Fields!H:H=E51)*(Fields!F:F=F51), 0))</f>
        <v>observation</v>
      </c>
      <c r="E51" s="4" t="s">
        <v>95</v>
      </c>
      <c r="F51" s="4" t="s">
        <v>119</v>
      </c>
      <c r="G51" s="6" t="s">
        <v>335</v>
      </c>
    </row>
    <row r="52" spans="2:7">
      <c r="B52" s="21">
        <v>46271599</v>
      </c>
      <c r="C52" s="8" t="s">
        <v>336</v>
      </c>
      <c r="D52" s="8" t="str" cm="1">
        <f t="array" ref="D52">INDEX(Fields!E:E, MATCH(1, (Fields!H:H=E52)*(Fields!F:F=F52), 0))</f>
        <v>observation</v>
      </c>
      <c r="E52" s="4" t="s">
        <v>95</v>
      </c>
      <c r="F52" s="4" t="s">
        <v>119</v>
      </c>
      <c r="G52" s="6" t="s">
        <v>337</v>
      </c>
    </row>
    <row r="53" spans="2:7">
      <c r="B53" s="21">
        <v>4208655</v>
      </c>
      <c r="C53" s="8" t="s">
        <v>338</v>
      </c>
      <c r="D53" s="8" t="str" cm="1">
        <f t="array" ref="D53">INDEX(Fields!E:E, MATCH(1, (Fields!H:H=E53)*(Fields!F:F=F53), 0))</f>
        <v>observation</v>
      </c>
      <c r="E53" s="4" t="s">
        <v>95</v>
      </c>
      <c r="F53" s="4" t="s">
        <v>119</v>
      </c>
      <c r="G53" s="6" t="s">
        <v>339</v>
      </c>
    </row>
    <row r="54" spans="2:7">
      <c r="B54" s="21">
        <v>4208655</v>
      </c>
      <c r="C54" s="8" t="s">
        <v>338</v>
      </c>
      <c r="D54" s="8" t="str" cm="1">
        <f t="array" ref="D54">INDEX(Fields!E:E, MATCH(1, (Fields!H:H=E54)*(Fields!F:F=F54), 0))</f>
        <v>observation</v>
      </c>
      <c r="E54" s="4" t="s">
        <v>95</v>
      </c>
      <c r="F54" s="4" t="s">
        <v>119</v>
      </c>
      <c r="G54" s="6" t="s">
        <v>340</v>
      </c>
    </row>
    <row r="55" spans="2:7">
      <c r="B55" s="21">
        <v>4176592</v>
      </c>
      <c r="C55" t="s">
        <v>341</v>
      </c>
      <c r="D55" s="8" t="str" cm="1">
        <f t="array" ref="D55">INDEX(Fields!E:E, MATCH(1, (Fields!H:H=E55)*(Fields!F:F=F55), 0))</f>
        <v>observation</v>
      </c>
      <c r="E55" s="4" t="s">
        <v>95</v>
      </c>
      <c r="F55" s="4" t="s">
        <v>119</v>
      </c>
      <c r="G55" s="6" t="s">
        <v>342</v>
      </c>
    </row>
    <row r="56" spans="2:7">
      <c r="B56" s="21">
        <v>46271610</v>
      </c>
      <c r="C56" s="8" t="s">
        <v>343</v>
      </c>
      <c r="D56" s="8" t="str" cm="1">
        <f t="array" ref="D56">INDEX(Fields!E:E, MATCH(1, (Fields!H:H=E56)*(Fields!F:F=F56), 0))</f>
        <v>observation</v>
      </c>
      <c r="E56" s="4" t="s">
        <v>95</v>
      </c>
      <c r="F56" s="4" t="s">
        <v>119</v>
      </c>
      <c r="G56" s="6" t="s">
        <v>344</v>
      </c>
    </row>
    <row r="57" spans="2:7">
      <c r="B57" s="21">
        <v>4208655</v>
      </c>
      <c r="C57" s="8" t="s">
        <v>338</v>
      </c>
      <c r="D57" s="8" t="str" cm="1">
        <f t="array" ref="D57">INDEX(Fields!E:E, MATCH(1, (Fields!H:H=E57)*(Fields!F:F=F57), 0))</f>
        <v>observation</v>
      </c>
      <c r="E57" s="4" t="s">
        <v>95</v>
      </c>
      <c r="F57" s="4" t="s">
        <v>119</v>
      </c>
      <c r="G57" s="6" t="s">
        <v>345</v>
      </c>
    </row>
    <row r="58" spans="2:7">
      <c r="B58" s="22">
        <v>4073054</v>
      </c>
      <c r="C58" s="25" t="s">
        <v>346</v>
      </c>
      <c r="D58" s="25" t="str" cm="1">
        <f t="array" ref="D58">INDEX(Fields!E:E, MATCH(1, (Fields!H:H=E58)*(Fields!F:F=F58), 0))</f>
        <v>observation</v>
      </c>
      <c r="E58" s="28" t="s">
        <v>95</v>
      </c>
      <c r="F58" s="5" t="s">
        <v>119</v>
      </c>
      <c r="G58" s="7" t="s">
        <v>347</v>
      </c>
    </row>
    <row r="59" spans="2:7">
      <c r="B59" s="9">
        <v>4094021</v>
      </c>
      <c r="C59" s="9" t="s">
        <v>348</v>
      </c>
      <c r="D59" s="8" t="str" cm="1">
        <f t="array" ref="D59">INDEX(Fields!E:E, MATCH(1, (Fields!H:H=E59)*(Fields!F:F=F59), 0))</f>
        <v>observation</v>
      </c>
      <c r="E59" s="4" t="s">
        <v>204</v>
      </c>
      <c r="F59" s="4" t="s">
        <v>202</v>
      </c>
      <c r="G59" s="6" t="s">
        <v>349</v>
      </c>
    </row>
    <row r="60" spans="2:7">
      <c r="B60" s="9">
        <v>4150614</v>
      </c>
      <c r="C60" s="9" t="s">
        <v>350</v>
      </c>
      <c r="D60" s="8" t="str" cm="1">
        <f t="array" ref="D60">INDEX(Fields!E:E, MATCH(1, (Fields!H:H=E60)*(Fields!F:F=F60), 0))</f>
        <v>observation</v>
      </c>
      <c r="E60" s="4" t="s">
        <v>204</v>
      </c>
      <c r="F60" s="4" t="s">
        <v>202</v>
      </c>
      <c r="G60" s="6" t="s">
        <v>351</v>
      </c>
    </row>
    <row r="61" spans="2:7">
      <c r="B61" s="9">
        <v>35816162</v>
      </c>
      <c r="C61" s="9" t="s">
        <v>352</v>
      </c>
      <c r="D61" s="8" t="str" cm="1">
        <f t="array" ref="D61">INDEX(Fields!E:E, MATCH(1, (Fields!H:H=E61)*(Fields!F:F=F61), 0))</f>
        <v>observation</v>
      </c>
      <c r="E61" s="4" t="s">
        <v>204</v>
      </c>
      <c r="F61" s="4" t="s">
        <v>202</v>
      </c>
      <c r="G61" s="6" t="s">
        <v>353</v>
      </c>
    </row>
    <row r="62" spans="2:7">
      <c r="B62" s="9">
        <v>4190569</v>
      </c>
      <c r="C62" s="9" t="s">
        <v>354</v>
      </c>
      <c r="D62" s="8" t="str" cm="1">
        <f t="array" ref="D62">INDEX(Fields!E:E, MATCH(1, (Fields!H:H=E62)*(Fields!F:F=F62), 0))</f>
        <v>observation</v>
      </c>
      <c r="E62" s="4" t="s">
        <v>204</v>
      </c>
      <c r="F62" s="4" t="s">
        <v>202</v>
      </c>
      <c r="G62" s="6" t="s">
        <v>355</v>
      </c>
    </row>
    <row r="63" spans="2:7">
      <c r="B63" s="9">
        <v>4027470</v>
      </c>
      <c r="C63" s="9" t="s">
        <v>356</v>
      </c>
      <c r="D63" s="8" t="str" cm="1">
        <f t="array" ref="D63">INDEX(Fields!E:E, MATCH(1, (Fields!H:H=E63)*(Fields!F:F=F63), 0))</f>
        <v>observation</v>
      </c>
      <c r="E63" s="4" t="s">
        <v>204</v>
      </c>
      <c r="F63" s="4" t="s">
        <v>202</v>
      </c>
      <c r="G63" s="6" t="s">
        <v>357</v>
      </c>
    </row>
    <row r="64" spans="2:7">
      <c r="B64" s="9">
        <v>4027472</v>
      </c>
      <c r="C64" s="9" t="s">
        <v>358</v>
      </c>
      <c r="D64" s="8" t="str" cm="1">
        <f t="array" ref="D64">INDEX(Fields!E:E, MATCH(1, (Fields!H:H=E64)*(Fields!F:F=F64), 0))</f>
        <v>observation</v>
      </c>
      <c r="E64" s="4" t="s">
        <v>204</v>
      </c>
      <c r="F64" s="4" t="s">
        <v>202</v>
      </c>
      <c r="G64" s="6" t="s">
        <v>359</v>
      </c>
    </row>
    <row r="65" spans="2:7">
      <c r="B65" s="9">
        <v>44790126</v>
      </c>
      <c r="C65" s="9" t="s">
        <v>360</v>
      </c>
      <c r="D65" s="8" t="str" cm="1">
        <f t="array" ref="D65">INDEX(Fields!E:E, MATCH(1, (Fields!H:H=E65)*(Fields!F:F=F65), 0))</f>
        <v>observation</v>
      </c>
      <c r="E65" s="4" t="s">
        <v>204</v>
      </c>
      <c r="F65" s="4" t="s">
        <v>202</v>
      </c>
      <c r="G65" s="6" t="s">
        <v>361</v>
      </c>
    </row>
    <row r="66" spans="2:7">
      <c r="B66" s="9">
        <v>444035</v>
      </c>
      <c r="C66" s="9" t="s">
        <v>362</v>
      </c>
      <c r="D66" s="8" t="str" cm="1">
        <f t="array" ref="D66">INDEX(Fields!E:E, MATCH(1, (Fields!H:H=E66)*(Fields!F:F=F66), 0))</f>
        <v>observation</v>
      </c>
      <c r="E66" s="4" t="s">
        <v>204</v>
      </c>
      <c r="F66" s="4" t="s">
        <v>202</v>
      </c>
      <c r="G66" s="6" t="s">
        <v>362</v>
      </c>
    </row>
    <row r="67" spans="2:7">
      <c r="B67" s="9">
        <v>4235390</v>
      </c>
      <c r="C67" s="9" t="s">
        <v>363</v>
      </c>
      <c r="D67" s="8" t="str" cm="1">
        <f t="array" ref="D67">INDEX(Fields!E:E, MATCH(1, (Fields!H:H=E67)*(Fields!F:F=F67), 0))</f>
        <v>observation</v>
      </c>
      <c r="E67" s="4" t="s">
        <v>204</v>
      </c>
      <c r="F67" s="4" t="s">
        <v>202</v>
      </c>
      <c r="G67" s="6" t="s">
        <v>364</v>
      </c>
    </row>
    <row r="68" spans="2:7">
      <c r="B68" s="9">
        <v>44789133</v>
      </c>
      <c r="C68" s="9" t="s">
        <v>365</v>
      </c>
      <c r="D68" s="8" t="str" cm="1">
        <f t="array" ref="D68">INDEX(Fields!E:E, MATCH(1, (Fields!H:H=E68)*(Fields!F:F=F68), 0))</f>
        <v>observation</v>
      </c>
      <c r="E68" s="4" t="s">
        <v>204</v>
      </c>
      <c r="F68" s="4" t="s">
        <v>202</v>
      </c>
      <c r="G68" s="6" t="s">
        <v>366</v>
      </c>
    </row>
    <row r="69" spans="2:7">
      <c r="B69" s="9">
        <v>4190569</v>
      </c>
      <c r="C69" s="9" t="s">
        <v>354</v>
      </c>
      <c r="D69" s="8" t="str" cm="1">
        <f t="array" ref="D69">INDEX(Fields!E:E, MATCH(1, (Fields!H:H=E69)*(Fields!F:F=F69), 0))</f>
        <v>observation</v>
      </c>
      <c r="E69" s="4" t="s">
        <v>204</v>
      </c>
      <c r="F69" s="4" t="s">
        <v>202</v>
      </c>
      <c r="G69" s="6" t="s">
        <v>367</v>
      </c>
    </row>
    <row r="70" spans="2:7">
      <c r="B70" s="23">
        <v>4027468</v>
      </c>
      <c r="C70" s="9" t="s">
        <v>368</v>
      </c>
      <c r="D70" s="8" t="str" cm="1">
        <f t="array" ref="D70">INDEX(Fields!E:E, MATCH(1, (Fields!H:H=E70)*(Fields!F:F=F70), 0))</f>
        <v>observation</v>
      </c>
      <c r="E70" s="4" t="s">
        <v>204</v>
      </c>
      <c r="F70" s="4" t="s">
        <v>202</v>
      </c>
      <c r="G70" s="6" t="s">
        <v>369</v>
      </c>
    </row>
    <row r="71" spans="2:7">
      <c r="B71" s="10">
        <v>44789132</v>
      </c>
      <c r="C71" s="30" t="s">
        <v>370</v>
      </c>
      <c r="D71" s="25" t="str" cm="1">
        <f t="array" ref="D71">INDEX(Fields!E:E, MATCH(1, (Fields!H:H=E71)*(Fields!F:F=F71), 0))</f>
        <v>observation</v>
      </c>
      <c r="E71" s="28" t="s">
        <v>204</v>
      </c>
      <c r="F71" s="5" t="s">
        <v>202</v>
      </c>
      <c r="G71" s="7" t="s">
        <v>371</v>
      </c>
    </row>
    <row r="72" spans="2:7">
      <c r="B72" s="9">
        <v>36310768</v>
      </c>
      <c r="C72" s="9" t="s">
        <v>372</v>
      </c>
      <c r="D72" s="8" t="str" cm="1">
        <f t="array" ref="D72">INDEX(Fields!E:E, MATCH(1, (Fields!H:H=E72)*(Fields!F:F=F72), 0))</f>
        <v>observation</v>
      </c>
      <c r="E72" s="4" t="s">
        <v>204</v>
      </c>
      <c r="F72" s="4" t="s">
        <v>211</v>
      </c>
      <c r="G72" s="12" t="s">
        <v>373</v>
      </c>
    </row>
    <row r="73" spans="2:7">
      <c r="B73" s="9">
        <v>4053178</v>
      </c>
      <c r="C73" s="9" t="s">
        <v>374</v>
      </c>
      <c r="D73" s="8" t="str" cm="1">
        <f t="array" ref="D73">INDEX(Fields!E:E, MATCH(1, (Fields!H:H=E73)*(Fields!F:F=F73), 0))</f>
        <v>observation</v>
      </c>
      <c r="E73" s="4" t="s">
        <v>204</v>
      </c>
      <c r="F73" s="4" t="s">
        <v>211</v>
      </c>
      <c r="G73" s="13" t="s">
        <v>375</v>
      </c>
    </row>
    <row r="74" spans="2:7">
      <c r="B74" s="9">
        <v>45877009</v>
      </c>
      <c r="C74" s="9" t="s">
        <v>376</v>
      </c>
      <c r="D74" s="8" t="str" cm="1">
        <f t="array" ref="D74">INDEX(Fields!E:E, MATCH(1, (Fields!H:H=E74)*(Fields!F:F=F74), 0))</f>
        <v>observation</v>
      </c>
      <c r="E74" s="4" t="s">
        <v>204</v>
      </c>
      <c r="F74" s="4" t="s">
        <v>211</v>
      </c>
      <c r="G74" s="13" t="s">
        <v>376</v>
      </c>
    </row>
    <row r="75" spans="2:7">
      <c r="B75" s="9">
        <v>36210232</v>
      </c>
      <c r="C75" s="9" t="s">
        <v>377</v>
      </c>
      <c r="D75" s="8" t="str" cm="1">
        <f t="array" ref="D75">INDEX(Fields!E:E, MATCH(1, (Fields!H:H=E75)*(Fields!F:F=F75), 0))</f>
        <v>observation</v>
      </c>
      <c r="E75" s="4" t="s">
        <v>204</v>
      </c>
      <c r="F75" s="4" t="s">
        <v>211</v>
      </c>
      <c r="G75" s="13" t="s">
        <v>377</v>
      </c>
    </row>
    <row r="76" spans="2:7">
      <c r="B76" s="9">
        <v>706290</v>
      </c>
      <c r="C76" s="9" t="s">
        <v>378</v>
      </c>
      <c r="D76" s="8" t="str" cm="1">
        <f t="array" ref="D76">INDEX(Fields!E:E, MATCH(1, (Fields!H:H=E76)*(Fields!F:F=F76), 0))</f>
        <v>observation</v>
      </c>
      <c r="E76" s="4" t="s">
        <v>204</v>
      </c>
      <c r="F76" s="4" t="s">
        <v>211</v>
      </c>
      <c r="G76" s="13" t="s">
        <v>379</v>
      </c>
    </row>
    <row r="77" spans="2:7">
      <c r="B77" s="24">
        <v>4165529</v>
      </c>
      <c r="C77" s="8" t="s">
        <v>380</v>
      </c>
      <c r="D77" s="8" t="str" cm="1">
        <f t="array" ref="D77">INDEX(Fields!E:E, MATCH(1, (Fields!H:H=E77)*(Fields!F:F=F77), 0))</f>
        <v>observation</v>
      </c>
      <c r="E77" s="4" t="s">
        <v>204</v>
      </c>
      <c r="F77" s="4" t="s">
        <v>211</v>
      </c>
      <c r="G77" s="13" t="s">
        <v>381</v>
      </c>
    </row>
    <row r="78" spans="2:7">
      <c r="B78" s="9">
        <v>36308867</v>
      </c>
      <c r="C78" s="9" t="s">
        <v>382</v>
      </c>
      <c r="D78" s="8" t="str" cm="1">
        <f t="array" ref="D78">INDEX(Fields!E:E, MATCH(1, (Fields!H:H=E78)*(Fields!F:F=F78), 0))</f>
        <v>observation</v>
      </c>
      <c r="E78" s="4" t="s">
        <v>204</v>
      </c>
      <c r="F78" s="4" t="s">
        <v>211</v>
      </c>
      <c r="G78" s="13" t="s">
        <v>383</v>
      </c>
    </row>
    <row r="79" spans="2:7">
      <c r="B79" s="9">
        <v>45878997</v>
      </c>
      <c r="C79" s="9" t="s">
        <v>384</v>
      </c>
      <c r="D79" s="8" t="str" cm="1">
        <f t="array" ref="D79">INDEX(Fields!E:E, MATCH(1, (Fields!H:H=E79)*(Fields!F:F=F79), 0))</f>
        <v>observation</v>
      </c>
      <c r="E79" s="4" t="s">
        <v>204</v>
      </c>
      <c r="F79" s="4" t="s">
        <v>211</v>
      </c>
      <c r="G79" s="13" t="s">
        <v>384</v>
      </c>
    </row>
    <row r="80" spans="2:7">
      <c r="B80" s="9">
        <v>436077</v>
      </c>
      <c r="C80" s="9" t="s">
        <v>385</v>
      </c>
      <c r="D80" s="8" t="str" cm="1">
        <f t="array" ref="D80">INDEX(Fields!E:E, MATCH(1, (Fields!H:H=E80)*(Fields!F:F=F80), 0))</f>
        <v>observation</v>
      </c>
      <c r="E80" s="4" t="s">
        <v>204</v>
      </c>
      <c r="F80" s="4" t="s">
        <v>211</v>
      </c>
      <c r="G80" s="13" t="s">
        <v>386</v>
      </c>
    </row>
    <row r="81" spans="2:7">
      <c r="B81" s="9">
        <v>45879799</v>
      </c>
      <c r="C81" s="9" t="s">
        <v>387</v>
      </c>
      <c r="D81" s="8" t="str" cm="1">
        <f t="array" ref="D81">INDEX(Fields!E:E, MATCH(1, (Fields!H:H=E81)*(Fields!F:F=F81), 0))</f>
        <v>observation</v>
      </c>
      <c r="E81" s="4" t="s">
        <v>204</v>
      </c>
      <c r="F81" s="4" t="s">
        <v>211</v>
      </c>
      <c r="G81" s="13" t="s">
        <v>387</v>
      </c>
    </row>
    <row r="82" spans="2:7">
      <c r="B82" s="9">
        <v>45880552</v>
      </c>
      <c r="C82" s="9" t="s">
        <v>388</v>
      </c>
      <c r="D82" s="8" t="str" cm="1">
        <f t="array" ref="D82">INDEX(Fields!E:E, MATCH(1, (Fields!H:H=E82)*(Fields!F:F=F82), 0))</f>
        <v>observation</v>
      </c>
      <c r="E82" s="4" t="s">
        <v>204</v>
      </c>
      <c r="F82" s="4" t="s">
        <v>211</v>
      </c>
      <c r="G82" s="13" t="s">
        <v>389</v>
      </c>
    </row>
    <row r="83" spans="2:7">
      <c r="B83" s="9">
        <v>442335</v>
      </c>
      <c r="C83" s="9" t="s">
        <v>390</v>
      </c>
      <c r="D83" s="8" t="str" cm="1">
        <f t="array" ref="D83">INDEX(Fields!E:E, MATCH(1, (Fields!H:H=E83)*(Fields!F:F=F83), 0))</f>
        <v>observation</v>
      </c>
      <c r="E83" s="4" t="s">
        <v>204</v>
      </c>
      <c r="F83" s="4" t="s">
        <v>211</v>
      </c>
      <c r="G83" s="13" t="s">
        <v>390</v>
      </c>
    </row>
    <row r="84" spans="2:7">
      <c r="B84" s="9">
        <v>4290260</v>
      </c>
      <c r="C84" s="9" t="s">
        <v>391</v>
      </c>
      <c r="D84" s="8" t="str" cm="1">
        <f t="array" ref="D84">INDEX(Fields!E:E, MATCH(1, (Fields!H:H=E84)*(Fields!F:F=F84), 0))</f>
        <v>observation</v>
      </c>
      <c r="E84" s="4" t="s">
        <v>204</v>
      </c>
      <c r="F84" s="4" t="s">
        <v>211</v>
      </c>
      <c r="G84" s="13" t="s">
        <v>391</v>
      </c>
    </row>
    <row r="85" spans="2:7">
      <c r="B85" s="14">
        <v>380378</v>
      </c>
      <c r="C85" s="9" t="s">
        <v>392</v>
      </c>
      <c r="D85" s="8" t="str" cm="1">
        <f t="array" ref="D85">INDEX(Fields!E:E, MATCH(1, (Fields!H:H=E85)*(Fields!F:F=F85), 0))</f>
        <v>observation</v>
      </c>
      <c r="E85" s="4" t="s">
        <v>204</v>
      </c>
      <c r="F85" s="4" t="s">
        <v>211</v>
      </c>
      <c r="G85" s="13" t="s">
        <v>392</v>
      </c>
    </row>
    <row r="86" spans="2:7">
      <c r="B86" s="9">
        <v>4004785</v>
      </c>
      <c r="C86" s="9" t="s">
        <v>393</v>
      </c>
      <c r="D86" s="8" t="str" cm="1">
        <f t="array" ref="D86">INDEX(Fields!E:E, MATCH(1, (Fields!H:H=E86)*(Fields!F:F=F86), 0))</f>
        <v>observation</v>
      </c>
      <c r="E86" s="4" t="s">
        <v>204</v>
      </c>
      <c r="F86" s="4" t="s">
        <v>211</v>
      </c>
      <c r="G86" s="13" t="s">
        <v>394</v>
      </c>
    </row>
    <row r="87" spans="2:7">
      <c r="B87" s="9">
        <v>4075828</v>
      </c>
      <c r="C87" s="9" t="s">
        <v>395</v>
      </c>
      <c r="D87" s="8" t="str" cm="1">
        <f t="array" ref="D87">INDEX(Fields!E:E, MATCH(1, (Fields!H:H=E87)*(Fields!F:F=F87), 0))</f>
        <v>observation</v>
      </c>
      <c r="E87" s="4" t="s">
        <v>204</v>
      </c>
      <c r="F87" s="4" t="s">
        <v>211</v>
      </c>
      <c r="G87" s="13" t="s">
        <v>396</v>
      </c>
    </row>
    <row r="88" spans="2:7">
      <c r="B88" s="9">
        <v>381592</v>
      </c>
      <c r="C88" s="9" t="s">
        <v>397</v>
      </c>
      <c r="D88" s="8" t="str" cm="1">
        <f t="array" ref="D88">INDEX(Fields!E:E, MATCH(1, (Fields!H:H=E88)*(Fields!F:F=F88), 0))</f>
        <v>observation</v>
      </c>
      <c r="E88" s="4" t="s">
        <v>204</v>
      </c>
      <c r="F88" s="4" t="s">
        <v>211</v>
      </c>
      <c r="G88" s="13" t="s">
        <v>398</v>
      </c>
    </row>
    <row r="89" spans="2:7">
      <c r="B89" s="14">
        <v>440374</v>
      </c>
      <c r="C89" s="9" t="s">
        <v>399</v>
      </c>
      <c r="D89" s="8" t="str" cm="1">
        <f t="array" ref="D89">INDEX(Fields!E:E, MATCH(1, (Fields!H:H=E89)*(Fields!F:F=F89), 0))</f>
        <v>observation</v>
      </c>
      <c r="E89" s="4" t="s">
        <v>204</v>
      </c>
      <c r="F89" s="4" t="s">
        <v>211</v>
      </c>
      <c r="G89" s="13" t="s">
        <v>399</v>
      </c>
    </row>
    <row r="90" spans="2:7">
      <c r="B90" s="14">
        <v>4283381</v>
      </c>
      <c r="C90" s="9" t="s">
        <v>400</v>
      </c>
      <c r="D90" s="8" t="str" cm="1">
        <f t="array" ref="D90">INDEX(Fields!E:E, MATCH(1, (Fields!H:H=E90)*(Fields!F:F=F90), 0))</f>
        <v>observation</v>
      </c>
      <c r="E90" s="4" t="s">
        <v>204</v>
      </c>
      <c r="F90" s="4" t="s">
        <v>211</v>
      </c>
      <c r="G90" s="13" t="s">
        <v>401</v>
      </c>
    </row>
    <row r="91" spans="2:7">
      <c r="B91" s="9">
        <v>36308642</v>
      </c>
      <c r="C91" s="9" t="s">
        <v>402</v>
      </c>
      <c r="D91" s="8" t="str" cm="1">
        <f t="array" ref="D91">INDEX(Fields!E:E, MATCH(1, (Fields!H:H=E91)*(Fields!F:F=F91), 0))</f>
        <v>observation</v>
      </c>
      <c r="E91" s="4" t="s">
        <v>204</v>
      </c>
      <c r="F91" s="4" t="s">
        <v>211</v>
      </c>
      <c r="G91" s="13" t="s">
        <v>403</v>
      </c>
    </row>
    <row r="92" spans="2:7">
      <c r="B92" s="10">
        <v>4176135</v>
      </c>
      <c r="C92" s="30" t="s">
        <v>404</v>
      </c>
      <c r="D92" s="25" t="str" cm="1">
        <f t="array" ref="D92">INDEX(Fields!E:E, MATCH(1, (Fields!H:H=E92)*(Fields!F:F=F92), 0))</f>
        <v>observation</v>
      </c>
      <c r="E92" s="28" t="s">
        <v>204</v>
      </c>
      <c r="F92" s="5" t="s">
        <v>211</v>
      </c>
      <c r="G92" s="15" t="s">
        <v>405</v>
      </c>
    </row>
    <row r="93" spans="2:7">
      <c r="B93" s="21">
        <v>45884262</v>
      </c>
      <c r="C93" s="14" t="s">
        <v>406</v>
      </c>
      <c r="D93" s="8" t="str" cm="1">
        <f t="array" ref="D93">INDEX(Fields!E:E, MATCH(1, (Fields!H:H=E93)*(Fields!F:F=F93), 0))</f>
        <v>observation</v>
      </c>
      <c r="E93" s="4" t="s">
        <v>173</v>
      </c>
      <c r="F93" s="4" t="s">
        <v>119</v>
      </c>
      <c r="G93" s="6" t="s">
        <v>407</v>
      </c>
    </row>
    <row r="94" spans="2:7">
      <c r="B94" s="21">
        <v>46273928</v>
      </c>
      <c r="C94" s="8" t="s">
        <v>324</v>
      </c>
      <c r="D94" s="8" t="str" cm="1">
        <f t="array" ref="D94">INDEX(Fields!E:E, MATCH(1, (Fields!H:H=E94)*(Fields!F:F=F94), 0))</f>
        <v>observation</v>
      </c>
      <c r="E94" s="4" t="s">
        <v>173</v>
      </c>
      <c r="F94" s="4" t="s">
        <v>119</v>
      </c>
      <c r="G94" s="6" t="s">
        <v>325</v>
      </c>
    </row>
    <row r="95" spans="2:7">
      <c r="B95" s="21">
        <v>46273219</v>
      </c>
      <c r="C95" s="8" t="s">
        <v>408</v>
      </c>
      <c r="D95" s="8" t="str" cm="1">
        <f t="array" ref="D95">INDEX(Fields!E:E, MATCH(1, (Fields!H:H=E95)*(Fields!F:F=F95), 0))</f>
        <v>observation</v>
      </c>
      <c r="E95" s="4" t="s">
        <v>173</v>
      </c>
      <c r="F95" s="4" t="s">
        <v>119</v>
      </c>
      <c r="G95" s="6" t="s">
        <v>409</v>
      </c>
    </row>
    <row r="96" spans="2:7">
      <c r="B96" s="21">
        <v>46271604</v>
      </c>
      <c r="C96" s="8" t="s">
        <v>326</v>
      </c>
      <c r="D96" s="8" t="str" cm="1">
        <f t="array" ref="D96">INDEX(Fields!E:E, MATCH(1, (Fields!H:H=E96)*(Fields!F:F=F96), 0))</f>
        <v>observation</v>
      </c>
      <c r="E96" s="4" t="s">
        <v>173</v>
      </c>
      <c r="F96" s="4" t="s">
        <v>119</v>
      </c>
      <c r="G96" s="6" t="s">
        <v>327</v>
      </c>
    </row>
    <row r="97" spans="2:7">
      <c r="B97" s="21">
        <v>46271604</v>
      </c>
      <c r="C97" s="8" t="s">
        <v>326</v>
      </c>
      <c r="D97" s="8" t="str" cm="1">
        <f t="array" ref="D97">INDEX(Fields!E:E, MATCH(1, (Fields!H:H=E97)*(Fields!F:F=F97), 0))</f>
        <v>observation</v>
      </c>
      <c r="E97" s="4" t="s">
        <v>173</v>
      </c>
      <c r="F97" s="4" t="s">
        <v>119</v>
      </c>
      <c r="G97" s="6" t="s">
        <v>328</v>
      </c>
    </row>
    <row r="98" spans="2:7">
      <c r="B98" s="21">
        <v>46271604</v>
      </c>
      <c r="C98" s="8" t="s">
        <v>326</v>
      </c>
      <c r="D98" s="8" t="str" cm="1">
        <f t="array" ref="D98">INDEX(Fields!E:E, MATCH(1, (Fields!H:H=E98)*(Fields!F:F=F98), 0))</f>
        <v>observation</v>
      </c>
      <c r="E98" s="4" t="s">
        <v>173</v>
      </c>
      <c r="F98" s="4" t="s">
        <v>119</v>
      </c>
      <c r="G98" s="6" t="s">
        <v>410</v>
      </c>
    </row>
    <row r="99" spans="2:7">
      <c r="B99" s="21">
        <v>46271604</v>
      </c>
      <c r="C99" s="8" t="s">
        <v>326</v>
      </c>
      <c r="D99" s="8" t="str" cm="1">
        <f t="array" ref="D99">INDEX(Fields!E:E, MATCH(1, (Fields!H:H=E99)*(Fields!F:F=F99), 0))</f>
        <v>observation</v>
      </c>
      <c r="E99" s="4" t="s">
        <v>173</v>
      </c>
      <c r="F99" s="4" t="s">
        <v>119</v>
      </c>
      <c r="G99" s="6" t="s">
        <v>411</v>
      </c>
    </row>
    <row r="100" spans="2:7">
      <c r="B100" s="21">
        <v>46271604</v>
      </c>
      <c r="C100" s="8" t="s">
        <v>326</v>
      </c>
      <c r="D100" s="8" t="str" cm="1">
        <f t="array" ref="D100">INDEX(Fields!E:E, MATCH(1, (Fields!H:H=E100)*(Fields!F:F=F100), 0))</f>
        <v>observation</v>
      </c>
      <c r="E100" s="4" t="s">
        <v>173</v>
      </c>
      <c r="F100" s="4" t="s">
        <v>119</v>
      </c>
      <c r="G100" s="6" t="s">
        <v>412</v>
      </c>
    </row>
    <row r="101" spans="2:7">
      <c r="B101" s="21">
        <v>46271604</v>
      </c>
      <c r="C101" s="8" t="s">
        <v>326</v>
      </c>
      <c r="D101" s="8" t="str" cm="1">
        <f t="array" ref="D101">INDEX(Fields!E:E, MATCH(1, (Fields!H:H=E101)*(Fields!F:F=F101), 0))</f>
        <v>observation</v>
      </c>
      <c r="E101" s="4" t="s">
        <v>173</v>
      </c>
      <c r="F101" s="4" t="s">
        <v>119</v>
      </c>
      <c r="G101" s="6" t="s">
        <v>413</v>
      </c>
    </row>
    <row r="102" spans="2:7">
      <c r="B102" s="21">
        <v>46271601</v>
      </c>
      <c r="C102" s="8" t="s">
        <v>329</v>
      </c>
      <c r="D102" s="8" t="str" cm="1">
        <f t="array" ref="D102">INDEX(Fields!E:E, MATCH(1, (Fields!H:H=E102)*(Fields!F:F=F102), 0))</f>
        <v>observation</v>
      </c>
      <c r="E102" s="4" t="s">
        <v>173</v>
      </c>
      <c r="F102" s="4" t="s">
        <v>119</v>
      </c>
      <c r="G102" s="6" t="s">
        <v>330</v>
      </c>
    </row>
    <row r="103" spans="2:7">
      <c r="B103" s="21">
        <v>607649</v>
      </c>
      <c r="C103" s="8" t="s">
        <v>331</v>
      </c>
      <c r="D103" s="8" t="str" cm="1">
        <f t="array" ref="D103">INDEX(Fields!E:E, MATCH(1, (Fields!H:H=E103)*(Fields!F:F=F103), 0))</f>
        <v>observation</v>
      </c>
      <c r="E103" s="4" t="s">
        <v>173</v>
      </c>
      <c r="F103" s="4" t="s">
        <v>119</v>
      </c>
      <c r="G103" s="6" t="s">
        <v>414</v>
      </c>
    </row>
    <row r="104" spans="2:7">
      <c r="B104" s="23">
        <v>44808278</v>
      </c>
      <c r="C104" s="8" t="s">
        <v>415</v>
      </c>
      <c r="D104" s="8" t="str" cm="1">
        <f t="array" ref="D104">INDEX(Fields!E:E, MATCH(1, (Fields!H:H=E104)*(Fields!F:F=F104), 0))</f>
        <v>observation</v>
      </c>
      <c r="E104" s="4" t="s">
        <v>173</v>
      </c>
      <c r="F104" s="4" t="s">
        <v>119</v>
      </c>
      <c r="G104" s="6" t="s">
        <v>416</v>
      </c>
    </row>
    <row r="105" spans="2:7">
      <c r="B105" s="21">
        <v>607649</v>
      </c>
      <c r="C105" s="8" t="s">
        <v>331</v>
      </c>
      <c r="D105" s="8" t="str" cm="1">
        <f t="array" ref="D105">INDEX(Fields!E:E, MATCH(1, (Fields!H:H=E105)*(Fields!F:F=F105), 0))</f>
        <v>observation</v>
      </c>
      <c r="E105" s="4" t="s">
        <v>173</v>
      </c>
      <c r="F105" s="4" t="s">
        <v>119</v>
      </c>
      <c r="G105" s="6" t="s">
        <v>332</v>
      </c>
    </row>
    <row r="106" spans="2:7">
      <c r="B106" s="21">
        <v>4073054</v>
      </c>
      <c r="C106" s="8" t="s">
        <v>333</v>
      </c>
      <c r="D106" s="8" t="str" cm="1">
        <f t="array" ref="D106">INDEX(Fields!E:E, MATCH(1, (Fields!H:H=E106)*(Fields!F:F=F106), 0))</f>
        <v>observation</v>
      </c>
      <c r="E106" s="4" t="s">
        <v>173</v>
      </c>
      <c r="F106" s="4" t="s">
        <v>119</v>
      </c>
      <c r="G106" s="6" t="s">
        <v>334</v>
      </c>
    </row>
    <row r="107" spans="2:7">
      <c r="B107" s="21">
        <v>607649</v>
      </c>
      <c r="C107" s="8" t="s">
        <v>331</v>
      </c>
      <c r="D107" s="8" t="str" cm="1">
        <f t="array" ref="D107">INDEX(Fields!E:E, MATCH(1, (Fields!H:H=E107)*(Fields!F:F=F107), 0))</f>
        <v>observation</v>
      </c>
      <c r="E107" s="4" t="s">
        <v>173</v>
      </c>
      <c r="F107" s="4" t="s">
        <v>119</v>
      </c>
      <c r="G107" s="6" t="s">
        <v>335</v>
      </c>
    </row>
    <row r="108" spans="2:7">
      <c r="B108" s="21">
        <v>607649</v>
      </c>
      <c r="C108" s="8" t="s">
        <v>331</v>
      </c>
      <c r="D108" s="8" t="str" cm="1">
        <f t="array" ref="D108">INDEX(Fields!E:E, MATCH(1, (Fields!H:H=E108)*(Fields!F:F=F108), 0))</f>
        <v>observation</v>
      </c>
      <c r="E108" s="4" t="s">
        <v>173</v>
      </c>
      <c r="F108" s="4" t="s">
        <v>119</v>
      </c>
      <c r="G108" s="6" t="s">
        <v>417</v>
      </c>
    </row>
    <row r="109" spans="2:7">
      <c r="B109" s="21">
        <v>607649</v>
      </c>
      <c r="C109" s="8" t="s">
        <v>331</v>
      </c>
      <c r="D109" s="8" t="str" cm="1">
        <f t="array" ref="D109">INDEX(Fields!E:E, MATCH(1, (Fields!H:H=E109)*(Fields!F:F=F109), 0))</f>
        <v>observation</v>
      </c>
      <c r="E109" s="4" t="s">
        <v>173</v>
      </c>
      <c r="F109" s="4" t="s">
        <v>119</v>
      </c>
      <c r="G109" s="6" t="s">
        <v>418</v>
      </c>
    </row>
    <row r="110" spans="2:7">
      <c r="B110" s="23">
        <v>44806393</v>
      </c>
      <c r="C110" s="8" t="s">
        <v>419</v>
      </c>
      <c r="D110" s="8" t="str" cm="1">
        <f t="array" ref="D110">INDEX(Fields!E:E, MATCH(1, (Fields!H:H=E110)*(Fields!F:F=F110), 0))</f>
        <v>observation</v>
      </c>
      <c r="E110" s="4" t="s">
        <v>173</v>
      </c>
      <c r="F110" s="4" t="s">
        <v>119</v>
      </c>
      <c r="G110" s="6" t="s">
        <v>420</v>
      </c>
    </row>
    <row r="111" spans="2:7">
      <c r="B111" s="21">
        <v>607649</v>
      </c>
      <c r="C111" s="8" t="s">
        <v>331</v>
      </c>
      <c r="D111" s="8" t="str" cm="1">
        <f t="array" ref="D111">INDEX(Fields!E:E, MATCH(1, (Fields!H:H=E111)*(Fields!F:F=F111), 0))</f>
        <v>observation</v>
      </c>
      <c r="E111" s="4" t="s">
        <v>173</v>
      </c>
      <c r="F111" s="4" t="s">
        <v>119</v>
      </c>
      <c r="G111" s="6" t="s">
        <v>421</v>
      </c>
    </row>
    <row r="112" spans="2:7">
      <c r="B112" s="21">
        <v>36713619</v>
      </c>
      <c r="C112" t="s">
        <v>422</v>
      </c>
      <c r="D112" s="8" t="str" cm="1">
        <f t="array" ref="D112">INDEX(Fields!E:E, MATCH(1, (Fields!H:H=E112)*(Fields!F:F=F112), 0))</f>
        <v>observation</v>
      </c>
      <c r="E112" s="4" t="s">
        <v>173</v>
      </c>
      <c r="F112" s="4" t="s">
        <v>119</v>
      </c>
      <c r="G112" s="6" t="s">
        <v>423</v>
      </c>
    </row>
    <row r="113" spans="2:7">
      <c r="B113" s="21">
        <v>4208655</v>
      </c>
      <c r="C113" s="8" t="s">
        <v>338</v>
      </c>
      <c r="D113" s="8" t="str" cm="1">
        <f t="array" ref="D113">INDEX(Fields!E:E, MATCH(1, (Fields!H:H=E113)*(Fields!F:F=F113), 0))</f>
        <v>observation</v>
      </c>
      <c r="E113" s="4" t="s">
        <v>173</v>
      </c>
      <c r="F113" s="4" t="s">
        <v>119</v>
      </c>
      <c r="G113" s="6" t="s">
        <v>424</v>
      </c>
    </row>
    <row r="114" spans="2:7">
      <c r="B114" s="21">
        <v>4208655</v>
      </c>
      <c r="C114" s="8" t="s">
        <v>338</v>
      </c>
      <c r="D114" s="8" t="str" cm="1">
        <f t="array" ref="D114">INDEX(Fields!E:E, MATCH(1, (Fields!H:H=E114)*(Fields!F:F=F114), 0))</f>
        <v>observation</v>
      </c>
      <c r="E114" s="4" t="s">
        <v>173</v>
      </c>
      <c r="F114" s="4" t="s">
        <v>119</v>
      </c>
      <c r="G114" s="6" t="s">
        <v>425</v>
      </c>
    </row>
    <row r="115" spans="2:7">
      <c r="B115" s="21">
        <v>4208655</v>
      </c>
      <c r="C115" s="8" t="s">
        <v>338</v>
      </c>
      <c r="D115" s="8" t="str" cm="1">
        <f t="array" ref="D115">INDEX(Fields!E:E, MATCH(1, (Fields!H:H=E115)*(Fields!F:F=F115), 0))</f>
        <v>observation</v>
      </c>
      <c r="E115" s="4" t="s">
        <v>173</v>
      </c>
      <c r="F115" s="4" t="s">
        <v>119</v>
      </c>
      <c r="G115" s="6" t="s">
        <v>426</v>
      </c>
    </row>
    <row r="116" spans="2:7">
      <c r="B116" s="21">
        <v>4208655</v>
      </c>
      <c r="C116" s="8" t="s">
        <v>338</v>
      </c>
      <c r="D116" s="8" t="str" cm="1">
        <f t="array" ref="D116">INDEX(Fields!E:E, MATCH(1, (Fields!H:H=E116)*(Fields!F:F=F116), 0))</f>
        <v>observation</v>
      </c>
      <c r="E116" s="4" t="s">
        <v>173</v>
      </c>
      <c r="F116" s="4" t="s">
        <v>119</v>
      </c>
      <c r="G116" s="6" t="s">
        <v>427</v>
      </c>
    </row>
    <row r="117" spans="2:7">
      <c r="B117" s="21">
        <v>4208655</v>
      </c>
      <c r="C117" s="8" t="s">
        <v>338</v>
      </c>
      <c r="D117" s="8" t="str" cm="1">
        <f t="array" ref="D117">INDEX(Fields!E:E, MATCH(1, (Fields!H:H=E117)*(Fields!F:F=F117), 0))</f>
        <v>observation</v>
      </c>
      <c r="E117" s="4" t="s">
        <v>173</v>
      </c>
      <c r="F117" s="4" t="s">
        <v>119</v>
      </c>
      <c r="G117" s="6" t="s">
        <v>428</v>
      </c>
    </row>
    <row r="118" spans="2:7">
      <c r="B118" s="21">
        <v>4208655</v>
      </c>
      <c r="C118" s="8" t="s">
        <v>338</v>
      </c>
      <c r="D118" s="8" t="str" cm="1">
        <f t="array" ref="D118">INDEX(Fields!E:E, MATCH(1, (Fields!H:H=E118)*(Fields!F:F=F118), 0))</f>
        <v>observation</v>
      </c>
      <c r="E118" s="4" t="s">
        <v>173</v>
      </c>
      <c r="F118" s="4" t="s">
        <v>119</v>
      </c>
      <c r="G118" s="6" t="s">
        <v>429</v>
      </c>
    </row>
    <row r="119" spans="2:7">
      <c r="B119" s="21">
        <v>4208655</v>
      </c>
      <c r="C119" s="8" t="s">
        <v>338</v>
      </c>
      <c r="D119" s="8" t="str" cm="1">
        <f t="array" ref="D119">INDEX(Fields!E:E, MATCH(1, (Fields!H:H=E119)*(Fields!F:F=F119), 0))</f>
        <v>observation</v>
      </c>
      <c r="E119" s="4" t="s">
        <v>173</v>
      </c>
      <c r="F119" s="4" t="s">
        <v>119</v>
      </c>
      <c r="G119" s="6" t="s">
        <v>430</v>
      </c>
    </row>
    <row r="120" spans="2:7">
      <c r="B120" s="21">
        <v>46271599</v>
      </c>
      <c r="C120" s="8" t="s">
        <v>336</v>
      </c>
      <c r="D120" s="8" t="str" cm="1">
        <f t="array" ref="D120">INDEX(Fields!E:E, MATCH(1, (Fields!H:H=E120)*(Fields!F:F=F120), 0))</f>
        <v>observation</v>
      </c>
      <c r="E120" s="4" t="s">
        <v>173</v>
      </c>
      <c r="F120" s="4" t="s">
        <v>119</v>
      </c>
      <c r="G120" s="6" t="s">
        <v>337</v>
      </c>
    </row>
    <row r="121" spans="2:7">
      <c r="B121" s="21">
        <v>4208655</v>
      </c>
      <c r="C121" s="8" t="s">
        <v>338</v>
      </c>
      <c r="D121" s="8" t="str" cm="1">
        <f t="array" ref="D121">INDEX(Fields!E:E, MATCH(1, (Fields!H:H=E121)*(Fields!F:F=F121), 0))</f>
        <v>observation</v>
      </c>
      <c r="E121" s="4" t="s">
        <v>173</v>
      </c>
      <c r="F121" s="4" t="s">
        <v>119</v>
      </c>
      <c r="G121" s="6" t="s">
        <v>431</v>
      </c>
    </row>
    <row r="122" spans="2:7">
      <c r="B122" s="21">
        <v>4208655</v>
      </c>
      <c r="C122" s="8" t="s">
        <v>338</v>
      </c>
      <c r="D122" s="8" t="str" cm="1">
        <f t="array" ref="D122">INDEX(Fields!E:E, MATCH(1, (Fields!H:H=E122)*(Fields!F:F=F122), 0))</f>
        <v>observation</v>
      </c>
      <c r="E122" s="4" t="s">
        <v>173</v>
      </c>
      <c r="F122" s="4" t="s">
        <v>119</v>
      </c>
      <c r="G122" s="6" t="s">
        <v>339</v>
      </c>
    </row>
    <row r="123" spans="2:7">
      <c r="B123" s="21">
        <v>4208655</v>
      </c>
      <c r="C123" s="8" t="s">
        <v>338</v>
      </c>
      <c r="D123" s="8" t="str" cm="1">
        <f t="array" ref="D123">INDEX(Fields!E:E, MATCH(1, (Fields!H:H=E123)*(Fields!F:F=F123), 0))</f>
        <v>observation</v>
      </c>
      <c r="E123" s="4" t="s">
        <v>173</v>
      </c>
      <c r="F123" s="4" t="s">
        <v>119</v>
      </c>
      <c r="G123" s="6" t="s">
        <v>340</v>
      </c>
    </row>
    <row r="124" spans="2:7">
      <c r="B124" s="19">
        <v>4022252</v>
      </c>
      <c r="C124" t="s">
        <v>432</v>
      </c>
      <c r="D124" s="8" t="str" cm="1">
        <f t="array" ref="D124">INDEX(Fields!E:E, MATCH(1, (Fields!H:H=E124)*(Fields!F:F=F124), 0))</f>
        <v>observation</v>
      </c>
      <c r="E124" s="4" t="s">
        <v>173</v>
      </c>
      <c r="F124" s="4" t="s">
        <v>119</v>
      </c>
      <c r="G124" s="6" t="s">
        <v>433</v>
      </c>
    </row>
    <row r="125" spans="2:7">
      <c r="B125" s="21">
        <v>4176592</v>
      </c>
      <c r="C125" t="s">
        <v>341</v>
      </c>
      <c r="D125" s="8" t="str" cm="1">
        <f t="array" ref="D125">INDEX(Fields!E:E, MATCH(1, (Fields!H:H=E125)*(Fields!F:F=F125), 0))</f>
        <v>observation</v>
      </c>
      <c r="E125" s="4" t="s">
        <v>173</v>
      </c>
      <c r="F125" s="4" t="s">
        <v>119</v>
      </c>
      <c r="G125" s="6" t="s">
        <v>342</v>
      </c>
    </row>
    <row r="126" spans="2:7">
      <c r="B126" s="21">
        <v>46271610</v>
      </c>
      <c r="C126" s="8" t="s">
        <v>343</v>
      </c>
      <c r="D126" s="8" t="str" cm="1">
        <f t="array" ref="D126">INDEX(Fields!E:E, MATCH(1, (Fields!H:H=E126)*(Fields!F:F=F126), 0))</f>
        <v>observation</v>
      </c>
      <c r="E126" s="4" t="s">
        <v>173</v>
      </c>
      <c r="F126" s="4" t="s">
        <v>119</v>
      </c>
      <c r="G126" s="6" t="s">
        <v>344</v>
      </c>
    </row>
    <row r="127" spans="2:7">
      <c r="B127" s="21">
        <v>4208655</v>
      </c>
      <c r="C127" s="8" t="s">
        <v>338</v>
      </c>
      <c r="D127" s="8" t="str" cm="1">
        <f t="array" ref="D127">INDEX(Fields!E:E, MATCH(1, (Fields!H:H=E127)*(Fields!F:F=F127), 0))</f>
        <v>observation</v>
      </c>
      <c r="E127" s="4" t="s">
        <v>173</v>
      </c>
      <c r="F127" s="4" t="s">
        <v>119</v>
      </c>
      <c r="G127" s="6" t="s">
        <v>345</v>
      </c>
    </row>
    <row r="128" spans="2:7">
      <c r="B128" s="21">
        <v>4073054</v>
      </c>
      <c r="C128" s="8" t="s">
        <v>346</v>
      </c>
      <c r="D128" s="8" t="str" cm="1">
        <f t="array" ref="D128">INDEX(Fields!E:E, MATCH(1, (Fields!H:H=E128)*(Fields!F:F=F128), 0))</f>
        <v>observation</v>
      </c>
      <c r="E128" s="4" t="s">
        <v>173</v>
      </c>
      <c r="F128" s="4" t="s">
        <v>119</v>
      </c>
      <c r="G128" s="6" t="s">
        <v>347</v>
      </c>
    </row>
    <row r="129" spans="2:7">
      <c r="B129" s="21">
        <v>607649</v>
      </c>
      <c r="C129" s="8" t="s">
        <v>331</v>
      </c>
      <c r="D129" s="8" t="str" cm="1">
        <f t="array" ref="D129">INDEX(Fields!E:E, MATCH(1, (Fields!H:H=E129)*(Fields!F:F=F129), 0))</f>
        <v>observation</v>
      </c>
      <c r="E129" s="4" t="s">
        <v>173</v>
      </c>
      <c r="F129" s="4" t="s">
        <v>119</v>
      </c>
      <c r="G129" s="6" t="s">
        <v>434</v>
      </c>
    </row>
    <row r="130" spans="2:7">
      <c r="B130" s="22">
        <v>4073054</v>
      </c>
      <c r="C130" s="25" t="s">
        <v>435</v>
      </c>
      <c r="D130" s="25" t="str" cm="1">
        <f t="array" ref="D130">INDEX(Fields!E:E, MATCH(1, (Fields!H:H=E130)*(Fields!F:F=F130), 0))</f>
        <v>observation</v>
      </c>
      <c r="E130" s="28" t="s">
        <v>173</v>
      </c>
      <c r="F130" s="5" t="s">
        <v>119</v>
      </c>
      <c r="G130" s="7" t="s">
        <v>436</v>
      </c>
    </row>
    <row r="131" spans="2:7">
      <c r="B131" s="10">
        <v>45882691</v>
      </c>
      <c r="C131" s="30" t="s">
        <v>437</v>
      </c>
      <c r="D131" s="25" t="str" cm="1">
        <f t="array" ref="D131">INDEX(Fields!E:E, MATCH(1, (Fields!H:H=E131)*(Fields!F:F=F131), 0))</f>
        <v>observation</v>
      </c>
      <c r="E131" s="28" t="s">
        <v>217</v>
      </c>
      <c r="F131" s="5" t="s">
        <v>215</v>
      </c>
      <c r="G131" s="16" t="s">
        <v>437</v>
      </c>
    </row>
    <row r="132" spans="2:7">
      <c r="B132" s="9">
        <v>38003600</v>
      </c>
      <c r="C132" s="9" t="s">
        <v>438</v>
      </c>
      <c r="D132" s="8" t="str" cm="1">
        <f t="array" ref="D132">INDEX(Fields!E:E, MATCH(1, (Fields!H:H=E132)*(Fields!F:F=F132), 0))</f>
        <v>person</v>
      </c>
      <c r="E132" s="4" t="s">
        <v>224</v>
      </c>
      <c r="F132" s="4" t="s">
        <v>228</v>
      </c>
      <c r="G132" s="6" t="s">
        <v>438</v>
      </c>
    </row>
    <row r="133" spans="2:7">
      <c r="B133" s="9">
        <v>38003575</v>
      </c>
      <c r="C133" s="9" t="s">
        <v>439</v>
      </c>
      <c r="D133" s="8" t="str" cm="1">
        <f t="array" ref="D133">INDEX(Fields!E:E, MATCH(1, (Fields!H:H=E133)*(Fields!F:F=F133), 0))</f>
        <v>person</v>
      </c>
      <c r="E133" s="4" t="s">
        <v>224</v>
      </c>
      <c r="F133" s="4" t="s">
        <v>228</v>
      </c>
      <c r="G133" s="6" t="s">
        <v>439</v>
      </c>
    </row>
    <row r="134" spans="2:7">
      <c r="B134" s="9">
        <v>38003579</v>
      </c>
      <c r="C134" s="9" t="s">
        <v>440</v>
      </c>
      <c r="D134" s="8" t="str" cm="1">
        <f t="array" ref="D134">INDEX(Fields!E:E, MATCH(1, (Fields!H:H=E134)*(Fields!F:F=F134), 0))</f>
        <v>person</v>
      </c>
      <c r="E134" s="4" t="s">
        <v>224</v>
      </c>
      <c r="F134" s="4" t="s">
        <v>228</v>
      </c>
      <c r="G134" s="6" t="s">
        <v>440</v>
      </c>
    </row>
    <row r="135" spans="2:7">
      <c r="B135" s="9">
        <v>38003589</v>
      </c>
      <c r="C135" s="9" t="s">
        <v>441</v>
      </c>
      <c r="D135" s="8" t="str" cm="1">
        <f t="array" ref="D135">INDEX(Fields!E:E, MATCH(1, (Fields!H:H=E135)*(Fields!F:F=F135), 0))</f>
        <v>person</v>
      </c>
      <c r="E135" s="4" t="s">
        <v>224</v>
      </c>
      <c r="F135" s="4" t="s">
        <v>228</v>
      </c>
      <c r="G135" s="6" t="s">
        <v>441</v>
      </c>
    </row>
    <row r="136" spans="2:7">
      <c r="B136" s="9">
        <v>8532</v>
      </c>
      <c r="C136" s="9" t="s">
        <v>442</v>
      </c>
      <c r="D136" s="8" t="str" cm="1">
        <f t="array" ref="D136">INDEX(Fields!E:E, MATCH(1, (Fields!H:H=E136)*(Fields!F:F=F136), 0))</f>
        <v>observation</v>
      </c>
      <c r="E136" s="4" t="s">
        <v>224</v>
      </c>
      <c r="F136" s="4" t="s">
        <v>231</v>
      </c>
      <c r="G136" s="6" t="s">
        <v>443</v>
      </c>
    </row>
    <row r="137" spans="2:7">
      <c r="B137" s="9">
        <v>46270485</v>
      </c>
      <c r="C137" s="9" t="s">
        <v>444</v>
      </c>
      <c r="D137" s="8" t="str" cm="1">
        <f t="array" ref="D137">INDEX(Fields!E:E, MATCH(1, (Fields!H:H=E137)*(Fields!F:F=F137), 0))</f>
        <v>observation</v>
      </c>
      <c r="E137" s="4" t="s">
        <v>224</v>
      </c>
      <c r="F137" s="4" t="s">
        <v>231</v>
      </c>
      <c r="G137" s="6" t="s">
        <v>445</v>
      </c>
    </row>
    <row r="138" spans="2:7">
      <c r="B138" s="9">
        <v>8507</v>
      </c>
      <c r="C138" s="9" t="s">
        <v>446</v>
      </c>
      <c r="D138" s="8" t="str" cm="1">
        <f t="array" ref="D138">INDEX(Fields!E:E, MATCH(1, (Fields!H:H=E138)*(Fields!F:F=F138), 0))</f>
        <v>observation</v>
      </c>
      <c r="E138" s="4" t="s">
        <v>224</v>
      </c>
      <c r="F138" s="4" t="s">
        <v>231</v>
      </c>
      <c r="G138" s="6" t="s">
        <v>447</v>
      </c>
    </row>
    <row r="139" spans="2:7">
      <c r="B139" s="22" t="s">
        <v>448</v>
      </c>
      <c r="C139" s="25" t="s">
        <v>449</v>
      </c>
      <c r="D139" s="25" t="str" cm="1">
        <f t="array" ref="D139">INDEX(Fields!E:E, MATCH(1, (Fields!H:H=E139)*(Fields!F:F=F139), 0))</f>
        <v>observation</v>
      </c>
      <c r="E139" s="28" t="s">
        <v>224</v>
      </c>
      <c r="F139" s="5" t="s">
        <v>231</v>
      </c>
      <c r="G139" s="7" t="s">
        <v>450</v>
      </c>
    </row>
    <row r="140" spans="2:7">
      <c r="B140" s="9">
        <v>4320153</v>
      </c>
      <c r="C140" s="9" t="s">
        <v>451</v>
      </c>
      <c r="D140" s="8" t="str" cm="1">
        <f t="array" ref="D140">INDEX(Fields!E:E, MATCH(1, (Fields!H:H=E140)*(Fields!F:F=F140), 0))</f>
        <v>observation</v>
      </c>
      <c r="E140" s="4" t="s">
        <v>224</v>
      </c>
      <c r="F140" s="4" t="s">
        <v>237</v>
      </c>
      <c r="G140" s="6" t="s">
        <v>452</v>
      </c>
    </row>
    <row r="141" spans="2:7">
      <c r="B141" s="9">
        <v>4320165</v>
      </c>
      <c r="C141" s="9" t="s">
        <v>453</v>
      </c>
      <c r="D141" s="8" t="str" cm="1">
        <f t="array" ref="D141">INDEX(Fields!E:E, MATCH(1, (Fields!H:H=E141)*(Fields!F:F=F141), 0))</f>
        <v>observation</v>
      </c>
      <c r="E141" s="4" t="s">
        <v>224</v>
      </c>
      <c r="F141" s="4" t="s">
        <v>237</v>
      </c>
      <c r="G141" s="6" t="s">
        <v>454</v>
      </c>
    </row>
    <row r="142" spans="2:7">
      <c r="B142" s="9">
        <v>4072105</v>
      </c>
      <c r="C142" s="9" t="s">
        <v>455</v>
      </c>
      <c r="D142" s="8" t="str" cm="1">
        <f t="array" ref="D142">INDEX(Fields!E:E, MATCH(1, (Fields!H:H=E142)*(Fields!F:F=F142), 0))</f>
        <v>observation</v>
      </c>
      <c r="E142" s="4" t="s">
        <v>224</v>
      </c>
      <c r="F142" s="4" t="s">
        <v>237</v>
      </c>
      <c r="G142" s="6" t="s">
        <v>456</v>
      </c>
    </row>
    <row r="143" spans="2:7">
      <c r="B143" s="9">
        <v>4330442</v>
      </c>
      <c r="C143" s="9" t="s">
        <v>457</v>
      </c>
      <c r="D143" s="8" t="str" cm="1">
        <f t="array" ref="D143">INDEX(Fields!E:E, MATCH(1, (Fields!H:H=E143)*(Fields!F:F=F143), 0))</f>
        <v>observation</v>
      </c>
      <c r="E143" s="4" t="s">
        <v>224</v>
      </c>
      <c r="F143" s="4" t="s">
        <v>237</v>
      </c>
      <c r="G143" s="6" t="s">
        <v>458</v>
      </c>
    </row>
    <row r="144" spans="2:7">
      <c r="B144" s="9">
        <v>4075205</v>
      </c>
      <c r="C144" s="9" t="s">
        <v>459</v>
      </c>
      <c r="D144" s="8" t="str" cm="1">
        <f t="array" ref="D144">INDEX(Fields!E:E, MATCH(1, (Fields!H:H=E144)*(Fields!F:F=F144), 0))</f>
        <v>observation</v>
      </c>
      <c r="E144" s="4" t="s">
        <v>224</v>
      </c>
      <c r="F144" s="4" t="s">
        <v>237</v>
      </c>
      <c r="G144" s="6" t="s">
        <v>460</v>
      </c>
    </row>
    <row r="145" spans="2:7">
      <c r="B145" s="9">
        <v>4073750</v>
      </c>
      <c r="C145" s="9" t="s">
        <v>461</v>
      </c>
      <c r="D145" s="8" t="str" cm="1">
        <f t="array" ref="D145">INDEX(Fields!E:E, MATCH(1, (Fields!H:H=E145)*(Fields!F:F=F145), 0))</f>
        <v>observation</v>
      </c>
      <c r="E145" s="4" t="s">
        <v>224</v>
      </c>
      <c r="F145" s="4" t="s">
        <v>237</v>
      </c>
      <c r="G145" s="6" t="s">
        <v>462</v>
      </c>
    </row>
    <row r="146" spans="2:7">
      <c r="B146" s="9">
        <v>41881315</v>
      </c>
      <c r="C146" s="9" t="s">
        <v>463</v>
      </c>
      <c r="D146" s="8" t="str" cm="1">
        <f t="array" ref="D146">INDEX(Fields!E:E, MATCH(1, (Fields!H:H=E146)*(Fields!F:F=F146), 0))</f>
        <v>observation</v>
      </c>
      <c r="E146" s="4" t="s">
        <v>224</v>
      </c>
      <c r="F146" s="4" t="s">
        <v>237</v>
      </c>
      <c r="G146" s="6" t="s">
        <v>464</v>
      </c>
    </row>
    <row r="147" spans="2:7">
      <c r="B147" s="9">
        <v>4329596</v>
      </c>
      <c r="C147" s="9" t="s">
        <v>465</v>
      </c>
      <c r="D147" s="8" t="str" cm="1">
        <f t="array" ref="D147">INDEX(Fields!E:E, MATCH(1, (Fields!H:H=E147)*(Fields!F:F=F147), 0))</f>
        <v>observation</v>
      </c>
      <c r="E147" s="4" t="s">
        <v>224</v>
      </c>
      <c r="F147" s="4" t="s">
        <v>237</v>
      </c>
      <c r="G147" s="6" t="s">
        <v>466</v>
      </c>
    </row>
    <row r="148" spans="2:7">
      <c r="B148" s="9">
        <v>4329584</v>
      </c>
      <c r="C148" s="9" t="s">
        <v>467</v>
      </c>
      <c r="D148" s="8" t="str" cm="1">
        <f t="array" ref="D148">INDEX(Fields!E:E, MATCH(1, (Fields!H:H=E148)*(Fields!F:F=F148), 0))</f>
        <v>observation</v>
      </c>
      <c r="E148" s="4" t="s">
        <v>224</v>
      </c>
      <c r="F148" s="4" t="s">
        <v>237</v>
      </c>
      <c r="G148" s="6" t="s">
        <v>439</v>
      </c>
    </row>
    <row r="149" spans="2:7">
      <c r="B149" s="9">
        <v>41890291</v>
      </c>
      <c r="C149" s="9" t="s">
        <v>468</v>
      </c>
      <c r="D149" s="8" t="str" cm="1">
        <f t="array" ref="D149">INDEX(Fields!E:E, MATCH(1, (Fields!H:H=E149)*(Fields!F:F=F149), 0))</f>
        <v>observation</v>
      </c>
      <c r="E149" s="4" t="s">
        <v>224</v>
      </c>
      <c r="F149" s="4" t="s">
        <v>237</v>
      </c>
      <c r="G149" s="17" t="s">
        <v>469</v>
      </c>
    </row>
    <row r="150" spans="2:7">
      <c r="B150" s="9">
        <v>41892130</v>
      </c>
      <c r="C150" s="9" t="s">
        <v>470</v>
      </c>
      <c r="D150" s="8" t="str" cm="1">
        <f t="array" ref="D150">INDEX(Fields!E:E, MATCH(1, (Fields!H:H=E150)*(Fields!F:F=F150), 0))</f>
        <v>observation</v>
      </c>
      <c r="E150" s="4" t="s">
        <v>224</v>
      </c>
      <c r="F150" s="4" t="s">
        <v>237</v>
      </c>
      <c r="G150" s="6" t="s">
        <v>471</v>
      </c>
    </row>
    <row r="151" spans="2:7">
      <c r="B151" s="9">
        <v>42035286</v>
      </c>
      <c r="C151" s="9" t="s">
        <v>472</v>
      </c>
      <c r="D151" s="8" t="str" cm="1">
        <f t="array" ref="D151">INDEX(Fields!E:E, MATCH(1, (Fields!H:H=E151)*(Fields!F:F=F151), 0))</f>
        <v>observation</v>
      </c>
      <c r="E151" s="4" t="s">
        <v>224</v>
      </c>
      <c r="F151" s="4" t="s">
        <v>237</v>
      </c>
      <c r="G151" s="6" t="s">
        <v>473</v>
      </c>
    </row>
    <row r="152" spans="2:7">
      <c r="B152" s="9">
        <v>4330429</v>
      </c>
      <c r="C152" s="9" t="s">
        <v>474</v>
      </c>
      <c r="D152" s="8" t="str" cm="1">
        <f t="array" ref="D152">INDEX(Fields!E:E, MATCH(1, (Fields!H:H=E152)*(Fields!F:F=F152), 0))</f>
        <v>observation</v>
      </c>
      <c r="E152" s="4" t="s">
        <v>224</v>
      </c>
      <c r="F152" s="4" t="s">
        <v>237</v>
      </c>
      <c r="G152" s="6" t="s">
        <v>475</v>
      </c>
    </row>
    <row r="153" spans="2:7">
      <c r="B153" s="9">
        <v>41915371</v>
      </c>
      <c r="C153" s="9" t="s">
        <v>476</v>
      </c>
      <c r="D153" s="8" t="str" cm="1">
        <f t="array" ref="D153">INDEX(Fields!E:E, MATCH(1, (Fields!H:H=E153)*(Fields!F:F=F153), 0))</f>
        <v>observation</v>
      </c>
      <c r="E153" s="4" t="s">
        <v>224</v>
      </c>
      <c r="F153" s="4" t="s">
        <v>237</v>
      </c>
      <c r="G153" s="6" t="s">
        <v>477</v>
      </c>
    </row>
    <row r="154" spans="2:7">
      <c r="B154" s="9">
        <v>4073752</v>
      </c>
      <c r="C154" s="9" t="s">
        <v>478</v>
      </c>
      <c r="D154" s="8" t="str" cm="1">
        <f t="array" ref="D154">INDEX(Fields!E:E, MATCH(1, (Fields!H:H=E154)*(Fields!F:F=F154), 0))</f>
        <v>observation</v>
      </c>
      <c r="E154" s="4" t="s">
        <v>224</v>
      </c>
      <c r="F154" s="4" t="s">
        <v>237</v>
      </c>
      <c r="G154" s="6" t="s">
        <v>479</v>
      </c>
    </row>
    <row r="155" spans="2:7">
      <c r="B155" s="9">
        <v>41921547</v>
      </c>
      <c r="C155" s="9" t="s">
        <v>480</v>
      </c>
      <c r="D155" s="8" t="str" cm="1">
        <f t="array" ref="D155">INDEX(Fields!E:E, MATCH(1, (Fields!H:H=E155)*(Fields!F:F=F155), 0))</f>
        <v>observation</v>
      </c>
      <c r="E155" s="4" t="s">
        <v>224</v>
      </c>
      <c r="F155" s="4" t="s">
        <v>237</v>
      </c>
      <c r="G155" s="6" t="s">
        <v>440</v>
      </c>
    </row>
    <row r="156" spans="2:7">
      <c r="B156" s="9">
        <v>4072108</v>
      </c>
      <c r="C156" s="9" t="s">
        <v>481</v>
      </c>
      <c r="D156" s="8" t="str" cm="1">
        <f t="array" ref="D156">INDEX(Fields!E:E, MATCH(1, (Fields!H:H=E156)*(Fields!F:F=F156), 0))</f>
        <v>observation</v>
      </c>
      <c r="E156" s="4" t="s">
        <v>224</v>
      </c>
      <c r="F156" s="4" t="s">
        <v>237</v>
      </c>
      <c r="G156" s="6" t="s">
        <v>482</v>
      </c>
    </row>
    <row r="157" spans="2:7">
      <c r="B157" s="9">
        <v>4075639</v>
      </c>
      <c r="C157" s="9" t="s">
        <v>483</v>
      </c>
      <c r="D157" s="8" t="str" cm="1">
        <f t="array" ref="D157">INDEX(Fields!E:E, MATCH(1, (Fields!H:H=E157)*(Fields!F:F=F157), 0))</f>
        <v>observation</v>
      </c>
      <c r="E157" s="4" t="s">
        <v>224</v>
      </c>
      <c r="F157" s="4" t="s">
        <v>237</v>
      </c>
      <c r="G157" s="6" t="s">
        <v>484</v>
      </c>
    </row>
    <row r="158" spans="2:7">
      <c r="B158" s="9">
        <v>4329599</v>
      </c>
      <c r="C158" s="9" t="s">
        <v>485</v>
      </c>
      <c r="D158" s="8" t="str" cm="1">
        <f t="array" ref="D158">INDEX(Fields!E:E, MATCH(1, (Fields!H:H=E158)*(Fields!F:F=F158), 0))</f>
        <v>observation</v>
      </c>
      <c r="E158" s="4" t="s">
        <v>224</v>
      </c>
      <c r="F158" s="4" t="s">
        <v>237</v>
      </c>
      <c r="G158" s="6" t="s">
        <v>486</v>
      </c>
    </row>
    <row r="159" spans="2:7">
      <c r="B159" s="9">
        <v>4320163</v>
      </c>
      <c r="C159" s="9" t="s">
        <v>487</v>
      </c>
      <c r="D159" s="8" t="str" cm="1">
        <f t="array" ref="D159">INDEX(Fields!E:E, MATCH(1, (Fields!H:H=E159)*(Fields!F:F=F159), 0))</f>
        <v>observation</v>
      </c>
      <c r="E159" s="4" t="s">
        <v>224</v>
      </c>
      <c r="F159" s="4" t="s">
        <v>237</v>
      </c>
      <c r="G159" s="6" t="s">
        <v>488</v>
      </c>
    </row>
    <row r="160" spans="2:7">
      <c r="B160" s="9">
        <v>41930999</v>
      </c>
      <c r="C160" s="9" t="s">
        <v>489</v>
      </c>
      <c r="D160" s="8" t="str" cm="1">
        <f t="array" ref="D160">INDEX(Fields!E:E, MATCH(1, (Fields!H:H=E160)*(Fields!F:F=F160), 0))</f>
        <v>observation</v>
      </c>
      <c r="E160" s="4" t="s">
        <v>224</v>
      </c>
      <c r="F160" s="4" t="s">
        <v>237</v>
      </c>
      <c r="G160" s="6" t="s">
        <v>490</v>
      </c>
    </row>
    <row r="161" spans="2:7">
      <c r="B161" s="9">
        <v>42032171</v>
      </c>
      <c r="C161" s="9" t="s">
        <v>491</v>
      </c>
      <c r="D161" s="8" t="str" cm="1">
        <f t="array" ref="D161">INDEX(Fields!E:E, MATCH(1, (Fields!H:H=E161)*(Fields!F:F=F161), 0))</f>
        <v>observation</v>
      </c>
      <c r="E161" s="4" t="s">
        <v>224</v>
      </c>
      <c r="F161" s="4" t="s">
        <v>237</v>
      </c>
      <c r="G161" s="6" t="s">
        <v>492</v>
      </c>
    </row>
    <row r="162" spans="2:7">
      <c r="B162" s="9">
        <v>4073737</v>
      </c>
      <c r="C162" s="9" t="s">
        <v>493</v>
      </c>
      <c r="D162" s="8" t="str" cm="1">
        <f t="array" ref="D162">INDEX(Fields!E:E, MATCH(1, (Fields!H:H=E162)*(Fields!F:F=F162), 0))</f>
        <v>observation</v>
      </c>
      <c r="E162" s="4" t="s">
        <v>224</v>
      </c>
      <c r="F162" s="4" t="s">
        <v>237</v>
      </c>
      <c r="G162" s="6" t="s">
        <v>494</v>
      </c>
    </row>
    <row r="163" spans="2:7">
      <c r="B163" s="9">
        <v>4320168</v>
      </c>
      <c r="C163" s="9" t="s">
        <v>495</v>
      </c>
      <c r="D163" s="8" t="str" cm="1">
        <f t="array" ref="D163">INDEX(Fields!E:E, MATCH(1, (Fields!H:H=E163)*(Fields!F:F=F163), 0))</f>
        <v>observation</v>
      </c>
      <c r="E163" s="4" t="s">
        <v>224</v>
      </c>
      <c r="F163" s="4" t="s">
        <v>237</v>
      </c>
      <c r="G163" s="12" t="s">
        <v>437</v>
      </c>
    </row>
    <row r="164" spans="2:7">
      <c r="B164" s="9">
        <v>40481806</v>
      </c>
      <c r="C164" s="9" t="s">
        <v>496</v>
      </c>
      <c r="D164" s="8" t="str" cm="1">
        <f t="array" ref="D164">INDEX(Fields!E:E, MATCH(1, (Fields!H:H=E164)*(Fields!F:F=F164), 0))</f>
        <v>observation</v>
      </c>
      <c r="E164" s="4" t="s">
        <v>224</v>
      </c>
      <c r="F164" s="4" t="s">
        <v>237</v>
      </c>
      <c r="G164" s="6" t="s">
        <v>497</v>
      </c>
    </row>
    <row r="165" spans="2:7">
      <c r="B165" s="9">
        <v>4320166</v>
      </c>
      <c r="C165" s="9" t="s">
        <v>498</v>
      </c>
      <c r="D165" s="8" t="str" cm="1">
        <f t="array" ref="D165">INDEX(Fields!E:E, MATCH(1, (Fields!H:H=E165)*(Fields!F:F=F165), 0))</f>
        <v>observation</v>
      </c>
      <c r="E165" s="4" t="s">
        <v>224</v>
      </c>
      <c r="F165" s="4" t="s">
        <v>237</v>
      </c>
      <c r="G165" s="6" t="s">
        <v>499</v>
      </c>
    </row>
    <row r="166" spans="2:7">
      <c r="B166" s="9">
        <v>4071835</v>
      </c>
      <c r="C166" s="9" t="s">
        <v>500</v>
      </c>
      <c r="D166" s="8" t="str" cm="1">
        <f t="array" ref="D166">INDEX(Fields!E:E, MATCH(1, (Fields!H:H=E166)*(Fields!F:F=F166), 0))</f>
        <v>observation</v>
      </c>
      <c r="E166" s="4" t="s">
        <v>224</v>
      </c>
      <c r="F166" s="4" t="s">
        <v>237</v>
      </c>
      <c r="G166" s="6" t="s">
        <v>501</v>
      </c>
    </row>
    <row r="167" spans="2:7">
      <c r="B167" s="9">
        <v>4320159</v>
      </c>
      <c r="C167" s="9" t="s">
        <v>502</v>
      </c>
      <c r="D167" s="8" t="str" cm="1">
        <f t="array" ref="D167">INDEX(Fields!E:E, MATCH(1, (Fields!H:H=E167)*(Fields!F:F=F167), 0))</f>
        <v>observation</v>
      </c>
      <c r="E167" s="4" t="s">
        <v>224</v>
      </c>
      <c r="F167" s="4" t="s">
        <v>237</v>
      </c>
      <c r="G167" s="6" t="s">
        <v>503</v>
      </c>
    </row>
    <row r="168" spans="2:7">
      <c r="B168" s="9">
        <v>4320323</v>
      </c>
      <c r="C168" s="9" t="s">
        <v>504</v>
      </c>
      <c r="D168" s="8" t="str" cm="1">
        <f t="array" ref="D168">INDEX(Fields!E:E, MATCH(1, (Fields!H:H=E168)*(Fields!F:F=F168), 0))</f>
        <v>observation</v>
      </c>
      <c r="E168" s="4" t="s">
        <v>224</v>
      </c>
      <c r="F168" s="4" t="s">
        <v>237</v>
      </c>
      <c r="G168" s="6" t="s">
        <v>505</v>
      </c>
    </row>
    <row r="169" spans="2:7">
      <c r="B169" s="9">
        <v>41928898</v>
      </c>
      <c r="C169" s="9" t="s">
        <v>506</v>
      </c>
      <c r="D169" s="8" t="str" cm="1">
        <f t="array" ref="D169">INDEX(Fields!E:E, MATCH(1, (Fields!H:H=E169)*(Fields!F:F=F169), 0))</f>
        <v>observation</v>
      </c>
      <c r="E169" s="4" t="s">
        <v>224</v>
      </c>
      <c r="F169" s="4" t="s">
        <v>237</v>
      </c>
      <c r="G169" s="6" t="s">
        <v>507</v>
      </c>
    </row>
    <row r="170" spans="2:7">
      <c r="B170" s="9">
        <v>4329171</v>
      </c>
      <c r="C170" s="9" t="s">
        <v>508</v>
      </c>
      <c r="D170" s="8" t="str" cm="1">
        <f t="array" ref="D170">INDEX(Fields!E:E, MATCH(1, (Fields!H:H=E170)*(Fields!F:F=F170), 0))</f>
        <v>observation</v>
      </c>
      <c r="E170" s="4" t="s">
        <v>224</v>
      </c>
      <c r="F170" s="4" t="s">
        <v>237</v>
      </c>
      <c r="G170" s="6" t="s">
        <v>509</v>
      </c>
    </row>
    <row r="171" spans="2:7">
      <c r="B171" s="9">
        <v>41970930</v>
      </c>
      <c r="C171" s="9" t="s">
        <v>510</v>
      </c>
      <c r="D171" s="8" t="str" cm="1">
        <f t="array" ref="D171">INDEX(Fields!E:E, MATCH(1, (Fields!H:H=E171)*(Fields!F:F=F171), 0))</f>
        <v>observation</v>
      </c>
      <c r="E171" s="4" t="s">
        <v>224</v>
      </c>
      <c r="F171" s="4" t="s">
        <v>237</v>
      </c>
      <c r="G171" s="6" t="s">
        <v>511</v>
      </c>
    </row>
    <row r="172" spans="2:7">
      <c r="B172" s="9">
        <v>4330430</v>
      </c>
      <c r="C172" s="9" t="s">
        <v>512</v>
      </c>
      <c r="D172" s="8" t="str" cm="1">
        <f t="array" ref="D172">INDEX(Fields!E:E, MATCH(1, (Fields!H:H=E172)*(Fields!F:F=F172), 0))</f>
        <v>observation</v>
      </c>
      <c r="E172" s="4" t="s">
        <v>224</v>
      </c>
      <c r="F172" s="4" t="s">
        <v>237</v>
      </c>
      <c r="G172" s="6" t="s">
        <v>513</v>
      </c>
    </row>
    <row r="173" spans="2:7">
      <c r="B173" s="9">
        <v>4320164</v>
      </c>
      <c r="C173" s="9" t="s">
        <v>514</v>
      </c>
      <c r="D173" s="8" t="str" cm="1">
        <f t="array" ref="D173">INDEX(Fields!E:E, MATCH(1, (Fields!H:H=E173)*(Fields!F:F=F173), 0))</f>
        <v>observation</v>
      </c>
      <c r="E173" s="4" t="s">
        <v>224</v>
      </c>
      <c r="F173" s="4" t="s">
        <v>237</v>
      </c>
      <c r="G173" s="6" t="s">
        <v>515</v>
      </c>
    </row>
    <row r="174" spans="2:7">
      <c r="B174" s="9">
        <v>4330436</v>
      </c>
      <c r="C174" s="9" t="s">
        <v>516</v>
      </c>
      <c r="D174" s="8" t="str" cm="1">
        <f t="array" ref="D174">INDEX(Fields!E:E, MATCH(1, (Fields!H:H=E174)*(Fields!F:F=F174), 0))</f>
        <v>observation</v>
      </c>
      <c r="E174" s="4" t="s">
        <v>224</v>
      </c>
      <c r="F174" s="4" t="s">
        <v>237</v>
      </c>
      <c r="G174" s="6" t="s">
        <v>517</v>
      </c>
    </row>
    <row r="175" spans="2:7">
      <c r="B175" s="9">
        <v>4320154</v>
      </c>
      <c r="C175" s="9" t="s">
        <v>518</v>
      </c>
      <c r="D175" s="8" t="str" cm="1">
        <f t="array" ref="D175">INDEX(Fields!E:E, MATCH(1, (Fields!H:H=E175)*(Fields!F:F=F175), 0))</f>
        <v>observation</v>
      </c>
      <c r="E175" s="4" t="s">
        <v>224</v>
      </c>
      <c r="F175" s="4" t="s">
        <v>237</v>
      </c>
      <c r="G175" s="6" t="s">
        <v>519</v>
      </c>
    </row>
    <row r="176" spans="2:7">
      <c r="B176" s="9">
        <v>4329582</v>
      </c>
      <c r="C176" s="9" t="s">
        <v>520</v>
      </c>
      <c r="D176" s="8" t="str" cm="1">
        <f t="array" ref="D176">INDEX(Fields!E:E, MATCH(1, (Fields!H:H=E176)*(Fields!F:F=F176), 0))</f>
        <v>observation</v>
      </c>
      <c r="E176" s="4" t="s">
        <v>224</v>
      </c>
      <c r="F176" s="4" t="s">
        <v>237</v>
      </c>
      <c r="G176" s="6" t="s">
        <v>521</v>
      </c>
    </row>
    <row r="177" spans="2:7">
      <c r="B177" s="9">
        <v>4329588</v>
      </c>
      <c r="C177" s="9" t="s">
        <v>522</v>
      </c>
      <c r="D177" s="8" t="str" cm="1">
        <f t="array" ref="D177">INDEX(Fields!E:E, MATCH(1, (Fields!H:H=E177)*(Fields!F:F=F177), 0))</f>
        <v>observation</v>
      </c>
      <c r="E177" s="4" t="s">
        <v>224</v>
      </c>
      <c r="F177" s="4" t="s">
        <v>237</v>
      </c>
      <c r="G177" s="6" t="s">
        <v>523</v>
      </c>
    </row>
    <row r="178" spans="2:7">
      <c r="B178" s="9">
        <v>4320308</v>
      </c>
      <c r="C178" s="9" t="s">
        <v>524</v>
      </c>
      <c r="D178" s="8" t="str" cm="1">
        <f t="array" ref="D178">INDEX(Fields!E:E, MATCH(1, (Fields!H:H=E178)*(Fields!F:F=F178), 0))</f>
        <v>observation</v>
      </c>
      <c r="E178" s="4" t="s">
        <v>224</v>
      </c>
      <c r="F178" s="4" t="s">
        <v>237</v>
      </c>
      <c r="G178" s="6" t="s">
        <v>525</v>
      </c>
    </row>
    <row r="179" spans="2:7">
      <c r="B179" s="9">
        <v>4330438</v>
      </c>
      <c r="C179" s="9" t="s">
        <v>526</v>
      </c>
      <c r="D179" s="8" t="str" cm="1">
        <f t="array" ref="D179">INDEX(Fields!E:E, MATCH(1, (Fields!H:H=E179)*(Fields!F:F=F179), 0))</f>
        <v>observation</v>
      </c>
      <c r="E179" s="4" t="s">
        <v>224</v>
      </c>
      <c r="F179" s="4" t="s">
        <v>237</v>
      </c>
      <c r="G179" s="6" t="s">
        <v>527</v>
      </c>
    </row>
    <row r="180" spans="2:7">
      <c r="B180" s="9">
        <v>41995088</v>
      </c>
      <c r="C180" s="9" t="s">
        <v>528</v>
      </c>
      <c r="D180" s="8" t="str" cm="1">
        <f t="array" ref="D180">INDEX(Fields!E:E, MATCH(1, (Fields!H:H=E180)*(Fields!F:F=F180), 0))</f>
        <v>observation</v>
      </c>
      <c r="E180" s="4" t="s">
        <v>224</v>
      </c>
      <c r="F180" s="4" t="s">
        <v>237</v>
      </c>
      <c r="G180" s="6" t="s">
        <v>529</v>
      </c>
    </row>
    <row r="181" spans="2:7">
      <c r="B181" s="9">
        <v>41987173</v>
      </c>
      <c r="C181" s="9" t="s">
        <v>530</v>
      </c>
      <c r="D181" s="8" t="str" cm="1">
        <f t="array" ref="D181">INDEX(Fields!E:E, MATCH(1, (Fields!H:H=E181)*(Fields!F:F=F181), 0))</f>
        <v>observation</v>
      </c>
      <c r="E181" s="4" t="s">
        <v>224</v>
      </c>
      <c r="F181" s="4" t="s">
        <v>237</v>
      </c>
      <c r="G181" s="6" t="s">
        <v>531</v>
      </c>
    </row>
    <row r="182" spans="2:7">
      <c r="B182" s="9">
        <v>4072762</v>
      </c>
      <c r="C182" s="9" t="s">
        <v>532</v>
      </c>
      <c r="D182" s="8" t="str" cm="1">
        <f t="array" ref="D182">INDEX(Fields!E:E, MATCH(1, (Fields!H:H=E182)*(Fields!F:F=F182), 0))</f>
        <v>observation</v>
      </c>
      <c r="E182" s="4" t="s">
        <v>224</v>
      </c>
      <c r="F182" s="4" t="s">
        <v>237</v>
      </c>
      <c r="G182" s="6" t="s">
        <v>533</v>
      </c>
    </row>
    <row r="183" spans="2:7">
      <c r="B183" s="9">
        <v>42006858</v>
      </c>
      <c r="C183" s="9" t="s">
        <v>534</v>
      </c>
      <c r="D183" s="8" t="str" cm="1">
        <f t="array" ref="D183">INDEX(Fields!E:E, MATCH(1, (Fields!H:H=E183)*(Fields!F:F=F183), 0))</f>
        <v>observation</v>
      </c>
      <c r="E183" s="4" t="s">
        <v>224</v>
      </c>
      <c r="F183" s="4" t="s">
        <v>237</v>
      </c>
      <c r="G183" s="6" t="s">
        <v>535</v>
      </c>
    </row>
    <row r="184" spans="2:7">
      <c r="B184" s="9">
        <v>4075204</v>
      </c>
      <c r="C184" s="9" t="s">
        <v>536</v>
      </c>
      <c r="D184" s="8" t="str" cm="1">
        <f t="array" ref="D184">INDEX(Fields!E:E, MATCH(1, (Fields!H:H=E184)*(Fields!F:F=F184), 0))</f>
        <v>observation</v>
      </c>
      <c r="E184" s="4" t="s">
        <v>224</v>
      </c>
      <c r="F184" s="4" t="s">
        <v>237</v>
      </c>
      <c r="G184" s="6" t="s">
        <v>537</v>
      </c>
    </row>
    <row r="185" spans="2:7">
      <c r="B185" s="9">
        <v>42018935</v>
      </c>
      <c r="C185" s="9" t="s">
        <v>538</v>
      </c>
      <c r="D185" s="8" t="str" cm="1">
        <f t="array" ref="D185">INDEX(Fields!E:E, MATCH(1, (Fields!H:H=E185)*(Fields!F:F=F185), 0))</f>
        <v>observation</v>
      </c>
      <c r="E185" s="4" t="s">
        <v>224</v>
      </c>
      <c r="F185" s="4" t="s">
        <v>237</v>
      </c>
      <c r="G185" s="6" t="s">
        <v>539</v>
      </c>
    </row>
    <row r="186" spans="2:7">
      <c r="B186" s="9">
        <v>4154060</v>
      </c>
      <c r="C186" s="9" t="s">
        <v>540</v>
      </c>
      <c r="D186" s="8" t="str" cm="1">
        <f t="array" ref="D186">INDEX(Fields!E:E, MATCH(1, (Fields!H:H=E186)*(Fields!F:F=F186), 0))</f>
        <v>observation</v>
      </c>
      <c r="E186" s="4" t="s">
        <v>224</v>
      </c>
      <c r="F186" s="4" t="s">
        <v>237</v>
      </c>
      <c r="G186" s="6" t="s">
        <v>541</v>
      </c>
    </row>
    <row r="187" spans="2:7">
      <c r="B187" s="9">
        <v>4329589</v>
      </c>
      <c r="C187" s="9" t="s">
        <v>542</v>
      </c>
      <c r="D187" s="8" t="str" cm="1">
        <f t="array" ref="D187">INDEX(Fields!E:E, MATCH(1, (Fields!H:H=E187)*(Fields!F:F=F187), 0))</f>
        <v>observation</v>
      </c>
      <c r="E187" s="4" t="s">
        <v>224</v>
      </c>
      <c r="F187" s="4" t="s">
        <v>237</v>
      </c>
      <c r="G187" s="6" t="s">
        <v>543</v>
      </c>
    </row>
    <row r="188" spans="2:7">
      <c r="B188" s="9">
        <v>4320319</v>
      </c>
      <c r="C188" s="9" t="s">
        <v>544</v>
      </c>
      <c r="D188" s="8" t="str" cm="1">
        <f t="array" ref="D188">INDEX(Fields!E:E, MATCH(1, (Fields!H:H=E188)*(Fields!F:F=F188), 0))</f>
        <v>observation</v>
      </c>
      <c r="E188" s="4" t="s">
        <v>224</v>
      </c>
      <c r="F188" s="4" t="s">
        <v>237</v>
      </c>
      <c r="G188" s="6" t="s">
        <v>545</v>
      </c>
    </row>
    <row r="189" spans="2:7">
      <c r="B189" s="9">
        <v>4072106</v>
      </c>
      <c r="C189" s="9" t="s">
        <v>546</v>
      </c>
      <c r="D189" s="8" t="str" cm="1">
        <f t="array" ref="D189">INDEX(Fields!E:E, MATCH(1, (Fields!H:H=E189)*(Fields!F:F=F189), 0))</f>
        <v>observation</v>
      </c>
      <c r="E189" s="4" t="s">
        <v>224</v>
      </c>
      <c r="F189" s="4" t="s">
        <v>237</v>
      </c>
      <c r="G189" s="6" t="s">
        <v>547</v>
      </c>
    </row>
    <row r="190" spans="2:7">
      <c r="B190" s="9">
        <v>4329600</v>
      </c>
      <c r="C190" s="9" t="s">
        <v>548</v>
      </c>
      <c r="D190" s="8" t="str" cm="1">
        <f t="array" ref="D190">INDEX(Fields!E:E, MATCH(1, (Fields!H:H=E190)*(Fields!F:F=F190), 0))</f>
        <v>observation</v>
      </c>
      <c r="E190" s="4" t="s">
        <v>224</v>
      </c>
      <c r="F190" s="4" t="s">
        <v>237</v>
      </c>
      <c r="G190" s="6" t="s">
        <v>549</v>
      </c>
    </row>
    <row r="191" spans="2:7">
      <c r="B191" s="9">
        <v>4329600</v>
      </c>
      <c r="C191" s="9" t="s">
        <v>548</v>
      </c>
      <c r="D191" s="8" t="str" cm="1">
        <f t="array" ref="D191">INDEX(Fields!E:E, MATCH(1, (Fields!H:H=E191)*(Fields!F:F=F191), 0))</f>
        <v>observation</v>
      </c>
      <c r="E191" s="4" t="s">
        <v>224</v>
      </c>
      <c r="F191" s="4" t="s">
        <v>237</v>
      </c>
      <c r="G191" s="6" t="s">
        <v>550</v>
      </c>
    </row>
    <row r="192" spans="2:7">
      <c r="B192" s="9">
        <v>4208477</v>
      </c>
      <c r="C192" s="9" t="s">
        <v>551</v>
      </c>
      <c r="D192" s="8" t="str" cm="1">
        <f t="array" ref="D192">INDEX(Fields!E:E, MATCH(1, (Fields!H:H=E192)*(Fields!F:F=F192), 0))</f>
        <v>observation</v>
      </c>
      <c r="E192" s="4" t="s">
        <v>224</v>
      </c>
      <c r="F192" s="4" t="s">
        <v>237</v>
      </c>
      <c r="G192" s="6" t="s">
        <v>552</v>
      </c>
    </row>
    <row r="193" spans="2:7">
      <c r="B193" s="9">
        <v>4330325</v>
      </c>
      <c r="C193" s="9" t="s">
        <v>553</v>
      </c>
      <c r="D193" s="8" t="str" cm="1">
        <f t="array" ref="D193">INDEX(Fields!E:E, MATCH(1, (Fields!H:H=E193)*(Fields!F:F=F193), 0))</f>
        <v>observation</v>
      </c>
      <c r="E193" s="4" t="s">
        <v>224</v>
      </c>
      <c r="F193" s="4" t="s">
        <v>237</v>
      </c>
      <c r="G193" s="6" t="s">
        <v>554</v>
      </c>
    </row>
    <row r="194" spans="2:7">
      <c r="B194" s="9">
        <v>4075636</v>
      </c>
      <c r="C194" s="9" t="s">
        <v>555</v>
      </c>
      <c r="D194" s="8" t="str" cm="1">
        <f t="array" ref="D194">INDEX(Fields!E:E, MATCH(1, (Fields!H:H=E194)*(Fields!F:F=F194), 0))</f>
        <v>observation</v>
      </c>
      <c r="E194" s="4" t="s">
        <v>224</v>
      </c>
      <c r="F194" s="4" t="s">
        <v>237</v>
      </c>
      <c r="G194" s="6" t="s">
        <v>556</v>
      </c>
    </row>
    <row r="195" spans="2:7">
      <c r="B195" s="9">
        <v>4320320</v>
      </c>
      <c r="C195" s="9" t="s">
        <v>557</v>
      </c>
      <c r="D195" s="8" t="str" cm="1">
        <f t="array" ref="D195">INDEX(Fields!E:E, MATCH(1, (Fields!H:H=E195)*(Fields!F:F=F195), 0))</f>
        <v>observation</v>
      </c>
      <c r="E195" s="4" t="s">
        <v>224</v>
      </c>
      <c r="F195" s="4" t="s">
        <v>237</v>
      </c>
      <c r="G195" s="6" t="s">
        <v>558</v>
      </c>
    </row>
    <row r="196" spans="2:7">
      <c r="B196" s="9">
        <v>4071834</v>
      </c>
      <c r="C196" s="9" t="s">
        <v>559</v>
      </c>
      <c r="D196" s="8" t="str" cm="1">
        <f t="array" ref="D196">INDEX(Fields!E:E, MATCH(1, (Fields!H:H=E196)*(Fields!F:F=F196), 0))</f>
        <v>observation</v>
      </c>
      <c r="E196" s="4" t="s">
        <v>224</v>
      </c>
      <c r="F196" s="4" t="s">
        <v>237</v>
      </c>
      <c r="G196" s="6" t="s">
        <v>560</v>
      </c>
    </row>
    <row r="197" spans="2:7">
      <c r="B197" s="9">
        <v>4329593</v>
      </c>
      <c r="C197" s="9" t="s">
        <v>561</v>
      </c>
      <c r="D197" s="8" t="str" cm="1">
        <f t="array" ref="D197">INDEX(Fields!E:E, MATCH(1, (Fields!H:H=E197)*(Fields!F:F=F197), 0))</f>
        <v>observation</v>
      </c>
      <c r="E197" s="4" t="s">
        <v>224</v>
      </c>
      <c r="F197" s="4" t="s">
        <v>237</v>
      </c>
      <c r="G197" s="6" t="s">
        <v>562</v>
      </c>
    </row>
    <row r="198" spans="2:7">
      <c r="B198" s="9">
        <v>4073748</v>
      </c>
      <c r="C198" s="9" t="s">
        <v>563</v>
      </c>
      <c r="D198" s="8" t="str" cm="1">
        <f t="array" ref="D198">INDEX(Fields!E:E, MATCH(1, (Fields!H:H=E198)*(Fields!F:F=F198), 0))</f>
        <v>observation</v>
      </c>
      <c r="E198" s="4" t="s">
        <v>224</v>
      </c>
      <c r="F198" s="4" t="s">
        <v>237</v>
      </c>
      <c r="G198" s="6" t="s">
        <v>564</v>
      </c>
    </row>
    <row r="199" spans="2:7">
      <c r="B199" s="9">
        <v>4328758</v>
      </c>
      <c r="C199" s="9" t="s">
        <v>565</v>
      </c>
      <c r="D199" s="8" t="str" cm="1">
        <f t="array" ref="D199">INDEX(Fields!E:E, MATCH(1, (Fields!H:H=E199)*(Fields!F:F=F199), 0))</f>
        <v>observation</v>
      </c>
      <c r="E199" s="4" t="s">
        <v>224</v>
      </c>
      <c r="F199" s="4" t="s">
        <v>237</v>
      </c>
      <c r="G199" s="6" t="s">
        <v>566</v>
      </c>
    </row>
    <row r="200" spans="2:7">
      <c r="B200" s="9">
        <v>45877986</v>
      </c>
      <c r="C200" s="9" t="s">
        <v>567</v>
      </c>
      <c r="D200" s="8" t="str" cm="1">
        <f t="array" ref="D200">INDEX(Fields!E:E, MATCH(1, (Fields!H:H=E200)*(Fields!F:F=F200), 0))</f>
        <v>observation</v>
      </c>
      <c r="E200" s="4" t="s">
        <v>224</v>
      </c>
      <c r="F200" s="4" t="s">
        <v>237</v>
      </c>
      <c r="G200" s="6" t="s">
        <v>568</v>
      </c>
    </row>
    <row r="201" spans="2:7">
      <c r="B201" s="9">
        <v>4329586</v>
      </c>
      <c r="C201" s="9" t="s">
        <v>569</v>
      </c>
      <c r="D201" s="8" t="str" cm="1">
        <f t="array" ref="D201">INDEX(Fields!E:E, MATCH(1, (Fields!H:H=E201)*(Fields!F:F=F201), 0))</f>
        <v>observation</v>
      </c>
      <c r="E201" s="4" t="s">
        <v>224</v>
      </c>
      <c r="F201" s="4" t="s">
        <v>237</v>
      </c>
      <c r="G201" s="6" t="s">
        <v>441</v>
      </c>
    </row>
    <row r="202" spans="2:7">
      <c r="B202" s="9">
        <v>42075097</v>
      </c>
      <c r="C202" s="9" t="s">
        <v>570</v>
      </c>
      <c r="D202" s="8" t="str" cm="1">
        <f t="array" ref="D202">INDEX(Fields!E:E, MATCH(1, (Fields!H:H=E202)*(Fields!F:F=F202), 0))</f>
        <v>observation</v>
      </c>
      <c r="E202" s="4" t="s">
        <v>224</v>
      </c>
      <c r="F202" s="4" t="s">
        <v>237</v>
      </c>
      <c r="G202" s="6" t="s">
        <v>571</v>
      </c>
    </row>
    <row r="203" spans="2:7">
      <c r="B203" s="9">
        <v>4320305</v>
      </c>
      <c r="C203" s="9" t="s">
        <v>572</v>
      </c>
      <c r="D203" s="8" t="str" cm="1">
        <f t="array" ref="D203">INDEX(Fields!E:E, MATCH(1, (Fields!H:H=E203)*(Fields!F:F=F203), 0))</f>
        <v>observation</v>
      </c>
      <c r="E203" s="4" t="s">
        <v>224</v>
      </c>
      <c r="F203" s="4" t="s">
        <v>237</v>
      </c>
      <c r="G203" s="6" t="s">
        <v>573</v>
      </c>
    </row>
    <row r="204" spans="2:7">
      <c r="B204" s="9">
        <v>4329597</v>
      </c>
      <c r="C204" s="9" t="s">
        <v>574</v>
      </c>
      <c r="D204" s="8" t="str" cm="1">
        <f t="array" ref="D204">INDEX(Fields!E:E, MATCH(1, (Fields!H:H=E204)*(Fields!F:F=F204), 0))</f>
        <v>observation</v>
      </c>
      <c r="E204" s="4" t="s">
        <v>224</v>
      </c>
      <c r="F204" s="4" t="s">
        <v>237</v>
      </c>
      <c r="G204" s="6" t="s">
        <v>575</v>
      </c>
    </row>
    <row r="205" spans="2:7">
      <c r="B205" s="9">
        <v>4320170</v>
      </c>
      <c r="C205" s="9" t="s">
        <v>576</v>
      </c>
      <c r="D205" s="8" t="str" cm="1">
        <f t="array" ref="D205">INDEX(Fields!E:E, MATCH(1, (Fields!H:H=E205)*(Fields!F:F=F205), 0))</f>
        <v>observation</v>
      </c>
      <c r="E205" s="4" t="s">
        <v>224</v>
      </c>
      <c r="F205" s="4" t="s">
        <v>237</v>
      </c>
      <c r="G205" s="6" t="s">
        <v>577</v>
      </c>
    </row>
    <row r="206" spans="2:7">
      <c r="B206" s="9">
        <v>4330431</v>
      </c>
      <c r="C206" s="9" t="s">
        <v>578</v>
      </c>
      <c r="D206" s="8" t="str" cm="1">
        <f t="array" ref="D206">INDEX(Fields!E:E, MATCH(1, (Fields!H:H=E206)*(Fields!F:F=F206), 0))</f>
        <v>observation</v>
      </c>
      <c r="E206" s="4" t="s">
        <v>224</v>
      </c>
      <c r="F206" s="4" t="s">
        <v>237</v>
      </c>
      <c r="G206" s="6" t="s">
        <v>579</v>
      </c>
    </row>
    <row r="207" spans="2:7">
      <c r="B207" s="9">
        <v>37162241</v>
      </c>
      <c r="C207" s="9" t="s">
        <v>580</v>
      </c>
      <c r="D207" s="8" t="str" cm="1">
        <f t="array" ref="D207">INDEX(Fields!E:E, MATCH(1, (Fields!H:H=E207)*(Fields!F:F=F207), 0))</f>
        <v>observation</v>
      </c>
      <c r="E207" s="4" t="s">
        <v>224</v>
      </c>
      <c r="F207" s="4" t="s">
        <v>237</v>
      </c>
      <c r="G207" s="6" t="s">
        <v>581</v>
      </c>
    </row>
    <row r="208" spans="2:7">
      <c r="B208" s="9">
        <v>42014333</v>
      </c>
      <c r="C208" s="9" t="s">
        <v>582</v>
      </c>
      <c r="D208" s="8" t="str" cm="1">
        <f t="array" ref="D208">INDEX(Fields!E:E, MATCH(1, (Fields!H:H=E208)*(Fields!F:F=F208), 0))</f>
        <v>observation</v>
      </c>
      <c r="E208" s="4" t="s">
        <v>224</v>
      </c>
      <c r="F208" s="4" t="s">
        <v>237</v>
      </c>
      <c r="G208" s="6" t="s">
        <v>583</v>
      </c>
    </row>
    <row r="209" spans="2:7">
      <c r="B209" s="9">
        <v>4330439</v>
      </c>
      <c r="C209" s="9" t="s">
        <v>584</v>
      </c>
      <c r="D209" s="8" t="str" cm="1">
        <f t="array" ref="D209">INDEX(Fields!E:E, MATCH(1, (Fields!H:H=E209)*(Fields!F:F=F209), 0))</f>
        <v>observation</v>
      </c>
      <c r="E209" s="4" t="s">
        <v>224</v>
      </c>
      <c r="F209" s="4" t="s">
        <v>237</v>
      </c>
      <c r="G209" s="6" t="s">
        <v>585</v>
      </c>
    </row>
    <row r="210" spans="2:7">
      <c r="B210" s="9">
        <v>40480046</v>
      </c>
      <c r="C210" s="9" t="s">
        <v>586</v>
      </c>
      <c r="D210" s="8" t="str" cm="1">
        <f t="array" ref="D210">INDEX(Fields!E:E, MATCH(1, (Fields!H:H=E210)*(Fields!F:F=F210), 0))</f>
        <v>observation</v>
      </c>
      <c r="E210" s="4" t="s">
        <v>224</v>
      </c>
      <c r="F210" s="4" t="s">
        <v>237</v>
      </c>
      <c r="G210" s="17" t="s">
        <v>587</v>
      </c>
    </row>
    <row r="211" spans="2:7">
      <c r="B211" s="9">
        <v>4320295</v>
      </c>
      <c r="C211" s="9" t="s">
        <v>588</v>
      </c>
      <c r="D211" s="8" t="str" cm="1">
        <f t="array" ref="D211">INDEX(Fields!E:E, MATCH(1, (Fields!H:H=E211)*(Fields!F:F=F211), 0))</f>
        <v>observation</v>
      </c>
      <c r="E211" s="4" t="s">
        <v>224</v>
      </c>
      <c r="F211" s="4" t="s">
        <v>237</v>
      </c>
      <c r="G211" s="6" t="s">
        <v>589</v>
      </c>
    </row>
    <row r="212" spans="2:7">
      <c r="B212" s="9">
        <v>4075202</v>
      </c>
      <c r="C212" s="9" t="s">
        <v>590</v>
      </c>
      <c r="D212" s="8" t="str" cm="1">
        <f t="array" ref="D212">INDEX(Fields!E:E, MATCH(1, (Fields!H:H=E212)*(Fields!F:F=F212), 0))</f>
        <v>observation</v>
      </c>
      <c r="E212" s="4" t="s">
        <v>224</v>
      </c>
      <c r="F212" s="4" t="s">
        <v>237</v>
      </c>
      <c r="G212" s="6" t="s">
        <v>591</v>
      </c>
    </row>
    <row r="213" spans="2:7">
      <c r="B213" s="9">
        <v>42014353</v>
      </c>
      <c r="C213" s="9" t="s">
        <v>592</v>
      </c>
      <c r="D213" s="8" t="str" cm="1">
        <f t="array" ref="D213">INDEX(Fields!E:E, MATCH(1, (Fields!H:H=E213)*(Fields!F:F=F213), 0))</f>
        <v>observation</v>
      </c>
      <c r="E213" s="4" t="s">
        <v>224</v>
      </c>
      <c r="F213" s="4" t="s">
        <v>237</v>
      </c>
      <c r="G213" s="6" t="s">
        <v>593</v>
      </c>
    </row>
    <row r="214" spans="2:7">
      <c r="B214" s="9">
        <v>42020824</v>
      </c>
      <c r="C214" s="9" t="s">
        <v>594</v>
      </c>
      <c r="D214" s="8" t="str" cm="1">
        <f t="array" ref="D214">INDEX(Fields!E:E, MATCH(1, (Fields!H:H=E214)*(Fields!F:F=F214), 0))</f>
        <v>observation</v>
      </c>
      <c r="E214" s="4" t="s">
        <v>224</v>
      </c>
      <c r="F214" s="4" t="s">
        <v>237</v>
      </c>
      <c r="G214" s="6" t="s">
        <v>595</v>
      </c>
    </row>
    <row r="215" spans="2:7">
      <c r="B215" s="9">
        <v>4320156</v>
      </c>
      <c r="C215" s="9" t="s">
        <v>596</v>
      </c>
      <c r="D215" s="8" t="str" cm="1">
        <f t="array" ref="D215">INDEX(Fields!E:E, MATCH(1, (Fields!H:H=E215)*(Fields!F:F=F215), 0))</f>
        <v>observation</v>
      </c>
      <c r="E215" s="4" t="s">
        <v>224</v>
      </c>
      <c r="F215" s="4" t="s">
        <v>237</v>
      </c>
      <c r="G215" s="6" t="s">
        <v>597</v>
      </c>
    </row>
    <row r="216" spans="2:7">
      <c r="B216" s="9">
        <v>4075198</v>
      </c>
      <c r="C216" s="9" t="s">
        <v>598</v>
      </c>
      <c r="D216" s="8" t="str" cm="1">
        <f t="array" ref="D216">INDEX(Fields!E:E, MATCH(1, (Fields!H:H=E216)*(Fields!F:F=F216), 0))</f>
        <v>observation</v>
      </c>
      <c r="E216" s="4" t="s">
        <v>224</v>
      </c>
      <c r="F216" s="4" t="s">
        <v>237</v>
      </c>
      <c r="G216" s="6" t="s">
        <v>599</v>
      </c>
    </row>
    <row r="217" spans="2:7">
      <c r="B217" s="9">
        <v>42030997</v>
      </c>
      <c r="C217" s="9" t="s">
        <v>600</v>
      </c>
      <c r="D217" s="8" t="str" cm="1">
        <f t="array" ref="D217">INDEX(Fields!E:E, MATCH(1, (Fields!H:H=E217)*(Fields!F:F=F217), 0))</f>
        <v>observation</v>
      </c>
      <c r="E217" s="4" t="s">
        <v>224</v>
      </c>
      <c r="F217" s="4" t="s">
        <v>237</v>
      </c>
      <c r="G217" s="6" t="s">
        <v>601</v>
      </c>
    </row>
    <row r="218" spans="2:7">
      <c r="B218" s="9">
        <v>4330427</v>
      </c>
      <c r="C218" s="9" t="s">
        <v>602</v>
      </c>
      <c r="D218" s="8" t="str" cm="1">
        <f t="array" ref="D218">INDEX(Fields!E:E, MATCH(1, (Fields!H:H=E218)*(Fields!F:F=F218), 0))</f>
        <v>observation</v>
      </c>
      <c r="E218" s="4" t="s">
        <v>224</v>
      </c>
      <c r="F218" s="4" t="s">
        <v>237</v>
      </c>
      <c r="G218" s="6" t="s">
        <v>603</v>
      </c>
    </row>
    <row r="219" spans="2:7">
      <c r="B219" s="9">
        <v>4320310</v>
      </c>
      <c r="C219" s="9" t="s">
        <v>604</v>
      </c>
      <c r="D219" s="8" t="str" cm="1">
        <f t="array" ref="D219">INDEX(Fields!E:E, MATCH(1, (Fields!H:H=E219)*(Fields!F:F=F219), 0))</f>
        <v>observation</v>
      </c>
      <c r="E219" s="4" t="s">
        <v>224</v>
      </c>
      <c r="F219" s="4" t="s">
        <v>237</v>
      </c>
      <c r="G219" s="6" t="s">
        <v>605</v>
      </c>
    </row>
    <row r="220" spans="2:7">
      <c r="B220" s="9">
        <v>4178927</v>
      </c>
      <c r="C220" s="9" t="s">
        <v>606</v>
      </c>
      <c r="D220" s="8" t="str" cm="1">
        <f t="array" ref="D220">INDEX(Fields!E:E, MATCH(1, (Fields!H:H=E220)*(Fields!F:F=F220), 0))</f>
        <v>observation</v>
      </c>
      <c r="E220" s="4" t="s">
        <v>224</v>
      </c>
      <c r="F220" s="4" t="s">
        <v>237</v>
      </c>
      <c r="G220" s="6" t="s">
        <v>607</v>
      </c>
    </row>
    <row r="221" spans="2:7">
      <c r="B221" s="9">
        <v>4320152</v>
      </c>
      <c r="C221" s="9" t="s">
        <v>608</v>
      </c>
      <c r="D221" s="8" t="str" cm="1">
        <f t="array" ref="D221">INDEX(Fields!E:E, MATCH(1, (Fields!H:H=E221)*(Fields!F:F=F221), 0))</f>
        <v>observation</v>
      </c>
      <c r="E221" s="4" t="s">
        <v>224</v>
      </c>
      <c r="F221" s="4" t="s">
        <v>237</v>
      </c>
      <c r="G221" s="6" t="s">
        <v>609</v>
      </c>
    </row>
    <row r="222" spans="2:7">
      <c r="B222" s="9">
        <v>4133506</v>
      </c>
      <c r="C222" s="9" t="s">
        <v>610</v>
      </c>
      <c r="D222" s="8" t="str" cm="1">
        <f t="array" ref="D222">INDEX(Fields!E:E, MATCH(1, (Fields!H:H=E222)*(Fields!F:F=F222), 0))</f>
        <v>observation</v>
      </c>
      <c r="E222" s="4" t="s">
        <v>224</v>
      </c>
      <c r="F222" s="4" t="s">
        <v>237</v>
      </c>
      <c r="G222" s="6" t="s">
        <v>611</v>
      </c>
    </row>
    <row r="223" spans="2:7">
      <c r="B223" s="9">
        <v>4071840</v>
      </c>
      <c r="C223" s="9" t="s">
        <v>612</v>
      </c>
      <c r="D223" s="8" t="str" cm="1">
        <f t="array" ref="D223">INDEX(Fields!E:E, MATCH(1, (Fields!H:H=E223)*(Fields!F:F=F223), 0))</f>
        <v>observation</v>
      </c>
      <c r="E223" s="4" t="s">
        <v>224</v>
      </c>
      <c r="F223" s="4" t="s">
        <v>237</v>
      </c>
      <c r="G223" s="6" t="s">
        <v>613</v>
      </c>
    </row>
    <row r="224" spans="2:7">
      <c r="B224" s="9">
        <v>4320321</v>
      </c>
      <c r="C224" s="9" t="s">
        <v>614</v>
      </c>
      <c r="D224" s="8" t="str" cm="1">
        <f t="array" ref="D224">INDEX(Fields!E:E, MATCH(1, (Fields!H:H=E224)*(Fields!F:F=F224), 0))</f>
        <v>observation</v>
      </c>
      <c r="E224" s="4" t="s">
        <v>224</v>
      </c>
      <c r="F224" s="4" t="s">
        <v>237</v>
      </c>
      <c r="G224" s="6" t="s">
        <v>615</v>
      </c>
    </row>
    <row r="225" spans="2:7">
      <c r="B225" s="9">
        <v>4075648</v>
      </c>
      <c r="C225" s="9" t="s">
        <v>616</v>
      </c>
      <c r="D225" s="8" t="str" cm="1">
        <f t="array" ref="D225">INDEX(Fields!E:E, MATCH(1, (Fields!H:H=E225)*(Fields!F:F=F225), 0))</f>
        <v>observation</v>
      </c>
      <c r="E225" s="4" t="s">
        <v>224</v>
      </c>
      <c r="F225" s="4" t="s">
        <v>237</v>
      </c>
      <c r="G225" s="6" t="s">
        <v>617</v>
      </c>
    </row>
    <row r="226" spans="2:7">
      <c r="B226" s="9">
        <v>4330326</v>
      </c>
      <c r="C226" s="9" t="s">
        <v>618</v>
      </c>
      <c r="D226" s="8" t="str" cm="1">
        <f t="array" ref="D226">INDEX(Fields!E:E, MATCH(1, (Fields!H:H=E226)*(Fields!F:F=F226), 0))</f>
        <v>observation</v>
      </c>
      <c r="E226" s="4" t="s">
        <v>224</v>
      </c>
      <c r="F226" s="4" t="s">
        <v>237</v>
      </c>
      <c r="G226" s="17" t="s">
        <v>619</v>
      </c>
    </row>
    <row r="227" spans="2:7">
      <c r="B227" s="9">
        <v>4075643</v>
      </c>
      <c r="C227" s="9" t="s">
        <v>620</v>
      </c>
      <c r="D227" s="8" t="str" cm="1">
        <f t="array" ref="D227">INDEX(Fields!E:E, MATCH(1, (Fields!H:H=E227)*(Fields!F:F=F227), 0))</f>
        <v>observation</v>
      </c>
      <c r="E227" s="4" t="s">
        <v>224</v>
      </c>
      <c r="F227" s="4" t="s">
        <v>237</v>
      </c>
      <c r="G227" s="6" t="s">
        <v>621</v>
      </c>
    </row>
    <row r="228" spans="2:7">
      <c r="B228" s="9">
        <v>4075633</v>
      </c>
      <c r="C228" s="9" t="s">
        <v>622</v>
      </c>
      <c r="D228" s="8" t="str" cm="1">
        <f t="array" ref="D228">INDEX(Fields!E:E, MATCH(1, (Fields!H:H=E228)*(Fields!F:F=F228), 0))</f>
        <v>observation</v>
      </c>
      <c r="E228" s="4" t="s">
        <v>224</v>
      </c>
      <c r="F228" s="4" t="s">
        <v>237</v>
      </c>
      <c r="G228" s="6" t="s">
        <v>623</v>
      </c>
    </row>
    <row r="229" spans="2:7">
      <c r="B229" s="10">
        <v>4073744</v>
      </c>
      <c r="C229" s="30" t="s">
        <v>624</v>
      </c>
      <c r="D229" s="25" t="str" cm="1">
        <f t="array" ref="D229">INDEX(Fields!E:E, MATCH(1, (Fields!H:H=E229)*(Fields!F:F=F229), 0))</f>
        <v>observation</v>
      </c>
      <c r="E229" s="28" t="s">
        <v>224</v>
      </c>
      <c r="F229" s="5" t="s">
        <v>237</v>
      </c>
      <c r="G229" s="7" t="s">
        <v>625</v>
      </c>
    </row>
    <row r="230" spans="2:7">
      <c r="B230" s="9">
        <v>4052350</v>
      </c>
      <c r="C230" s="9" t="s">
        <v>626</v>
      </c>
      <c r="D230" s="8" t="str" cm="1">
        <f t="array" ref="D230">INDEX(Fields!E:E, MATCH(1, (Fields!H:H=E230)*(Fields!F:F=F230), 0))</f>
        <v>observation</v>
      </c>
      <c r="E230" s="4" t="s">
        <v>224</v>
      </c>
      <c r="F230" s="4" t="s">
        <v>240</v>
      </c>
      <c r="G230" s="6" t="s">
        <v>626</v>
      </c>
    </row>
    <row r="231" spans="2:7">
      <c r="B231" s="9">
        <v>4156961</v>
      </c>
      <c r="C231" s="9" t="s">
        <v>627</v>
      </c>
      <c r="D231" s="8" t="str" cm="1">
        <f t="array" ref="D231">INDEX(Fields!E:E, MATCH(1, (Fields!H:H=E231)*(Fields!F:F=F231), 0))</f>
        <v>observation</v>
      </c>
      <c r="E231" s="4" t="s">
        <v>224</v>
      </c>
      <c r="F231" s="4" t="s">
        <v>240</v>
      </c>
      <c r="G231" s="6" t="s">
        <v>627</v>
      </c>
    </row>
    <row r="232" spans="2:7">
      <c r="B232" s="9">
        <v>4058124</v>
      </c>
      <c r="C232" s="9" t="s">
        <v>628</v>
      </c>
      <c r="D232" s="8" t="str" cm="1">
        <f t="array" ref="D232">INDEX(Fields!E:E, MATCH(1, (Fields!H:H=E232)*(Fields!F:F=F232), 0))</f>
        <v>observation</v>
      </c>
      <c r="E232" s="4" t="s">
        <v>224</v>
      </c>
      <c r="F232" s="4" t="s">
        <v>240</v>
      </c>
      <c r="G232" s="6" t="s">
        <v>628</v>
      </c>
    </row>
    <row r="233" spans="2:7">
      <c r="B233" s="9">
        <v>4051382</v>
      </c>
      <c r="C233" s="9" t="s">
        <v>629</v>
      </c>
      <c r="D233" s="8" t="str" cm="1">
        <f t="array" ref="D233">INDEX(Fields!E:E, MATCH(1, (Fields!H:H=E233)*(Fields!F:F=F233), 0))</f>
        <v>observation</v>
      </c>
      <c r="E233" s="4" t="s">
        <v>224</v>
      </c>
      <c r="F233" s="4" t="s">
        <v>240</v>
      </c>
      <c r="G233" s="6" t="s">
        <v>630</v>
      </c>
    </row>
    <row r="234" spans="2:7">
      <c r="B234" s="9">
        <v>4203579</v>
      </c>
      <c r="C234" s="9" t="s">
        <v>631</v>
      </c>
      <c r="D234" s="8" t="str" cm="1">
        <f t="array" ref="D234">INDEX(Fields!E:E, MATCH(1, (Fields!H:H=E234)*(Fields!F:F=F234), 0))</f>
        <v>observation</v>
      </c>
      <c r="E234" s="4" t="s">
        <v>224</v>
      </c>
      <c r="F234" s="4" t="s">
        <v>240</v>
      </c>
      <c r="G234" s="6" t="s">
        <v>632</v>
      </c>
    </row>
    <row r="235" spans="2:7">
      <c r="B235" s="9">
        <v>4052936</v>
      </c>
      <c r="C235" s="9" t="s">
        <v>633</v>
      </c>
      <c r="D235" s="8" t="str" cm="1">
        <f t="array" ref="D235">INDEX(Fields!E:E, MATCH(1, (Fields!H:H=E235)*(Fields!F:F=F235), 0))</f>
        <v>observation</v>
      </c>
      <c r="E235" s="4" t="s">
        <v>224</v>
      </c>
      <c r="F235" s="4" t="s">
        <v>240</v>
      </c>
      <c r="G235" s="6" t="s">
        <v>634</v>
      </c>
    </row>
    <row r="236" spans="2:7">
      <c r="B236" s="9">
        <v>4052936</v>
      </c>
      <c r="C236" s="9" t="s">
        <v>633</v>
      </c>
      <c r="D236" s="8" t="str" cm="1">
        <f t="array" ref="D236">INDEX(Fields!E:E, MATCH(1, (Fields!H:H=E236)*(Fields!F:F=F236), 0))</f>
        <v>observation</v>
      </c>
      <c r="E236" s="4" t="s">
        <v>224</v>
      </c>
      <c r="F236" s="4" t="s">
        <v>240</v>
      </c>
      <c r="G236" s="6" t="s">
        <v>634</v>
      </c>
    </row>
    <row r="237" spans="2:7">
      <c r="B237" s="9">
        <v>4148978</v>
      </c>
      <c r="C237" s="9" t="s">
        <v>635</v>
      </c>
      <c r="D237" s="8" t="str" cm="1">
        <f t="array" ref="D237">INDEX(Fields!E:E, MATCH(1, (Fields!H:H=E237)*(Fields!F:F=F237), 0))</f>
        <v>observation</v>
      </c>
      <c r="E237" s="4" t="s">
        <v>224</v>
      </c>
      <c r="F237" s="4" t="s">
        <v>240</v>
      </c>
      <c r="G237" s="6" t="s">
        <v>635</v>
      </c>
    </row>
    <row r="238" spans="2:7">
      <c r="B238" s="9">
        <v>4179372</v>
      </c>
      <c r="C238" s="9" t="s">
        <v>636</v>
      </c>
      <c r="D238" s="8" t="str" cm="1">
        <f t="array" ref="D238">INDEX(Fields!E:E, MATCH(1, (Fields!H:H=E238)*(Fields!F:F=F238), 0))</f>
        <v>observation</v>
      </c>
      <c r="E238" s="4" t="s">
        <v>224</v>
      </c>
      <c r="F238" s="4" t="s">
        <v>240</v>
      </c>
      <c r="G238" s="6" t="s">
        <v>636</v>
      </c>
    </row>
    <row r="239" spans="2:7">
      <c r="B239" s="9">
        <v>4052018</v>
      </c>
      <c r="C239" s="9" t="s">
        <v>637</v>
      </c>
      <c r="D239" s="8" t="str" cm="1">
        <f t="array" ref="D239">INDEX(Fields!E:E, MATCH(1, (Fields!H:H=E239)*(Fields!F:F=F239), 0))</f>
        <v>observation</v>
      </c>
      <c r="E239" s="4" t="s">
        <v>224</v>
      </c>
      <c r="F239" s="4" t="s">
        <v>240</v>
      </c>
      <c r="G239" s="6" t="s">
        <v>638</v>
      </c>
    </row>
    <row r="240" spans="2:7">
      <c r="B240" s="9">
        <v>4051379</v>
      </c>
      <c r="C240" s="9" t="s">
        <v>639</v>
      </c>
      <c r="D240" s="8" t="str" cm="1">
        <f t="array" ref="D240">INDEX(Fields!E:E, MATCH(1, (Fields!H:H=E240)*(Fields!F:F=F240), 0))</f>
        <v>observation</v>
      </c>
      <c r="E240" s="4" t="s">
        <v>224</v>
      </c>
      <c r="F240" s="4" t="s">
        <v>240</v>
      </c>
      <c r="G240" s="6" t="s">
        <v>640</v>
      </c>
    </row>
    <row r="241" spans="2:7">
      <c r="B241" s="9">
        <v>4172697</v>
      </c>
      <c r="C241" s="9" t="s">
        <v>641</v>
      </c>
      <c r="D241" s="8" t="str" cm="1">
        <f t="array" ref="D241">INDEX(Fields!E:E, MATCH(1, (Fields!H:H=E241)*(Fields!F:F=F241), 0))</f>
        <v>observation</v>
      </c>
      <c r="E241" s="4" t="s">
        <v>224</v>
      </c>
      <c r="F241" s="4" t="s">
        <v>240</v>
      </c>
      <c r="G241" s="6" t="s">
        <v>642</v>
      </c>
    </row>
    <row r="242" spans="2:7">
      <c r="B242" s="9">
        <v>4051379</v>
      </c>
      <c r="C242" s="9" t="s">
        <v>639</v>
      </c>
      <c r="D242" s="8" t="str" cm="1">
        <f t="array" ref="D242">INDEX(Fields!E:E, MATCH(1, (Fields!H:H=E242)*(Fields!F:F=F242), 0))</f>
        <v>observation</v>
      </c>
      <c r="E242" s="4" t="s">
        <v>224</v>
      </c>
      <c r="F242" s="4" t="s">
        <v>240</v>
      </c>
      <c r="G242" s="6" t="s">
        <v>643</v>
      </c>
    </row>
    <row r="243" spans="2:7">
      <c r="B243" s="9">
        <v>4028345</v>
      </c>
      <c r="C243" s="9" t="s">
        <v>644</v>
      </c>
      <c r="D243" s="8" t="str" cm="1">
        <f t="array" ref="D243">INDEX(Fields!E:E, MATCH(1, (Fields!H:H=E243)*(Fields!F:F=F243), 0))</f>
        <v>observation</v>
      </c>
      <c r="E243" s="4" t="s">
        <v>224</v>
      </c>
      <c r="F243" s="4" t="s">
        <v>240</v>
      </c>
      <c r="G243" s="6" t="s">
        <v>645</v>
      </c>
    </row>
    <row r="244" spans="2:7">
      <c r="B244" s="9">
        <v>4052941</v>
      </c>
      <c r="C244" s="9" t="s">
        <v>646</v>
      </c>
      <c r="D244" s="8" t="str" cm="1">
        <f t="array" ref="D244">INDEX(Fields!E:E, MATCH(1, (Fields!H:H=E244)*(Fields!F:F=F244), 0))</f>
        <v>observation</v>
      </c>
      <c r="E244" s="4" t="s">
        <v>224</v>
      </c>
      <c r="F244" s="4" t="s">
        <v>240</v>
      </c>
      <c r="G244" s="6" t="s">
        <v>647</v>
      </c>
    </row>
    <row r="245" spans="2:7">
      <c r="B245" s="9">
        <v>4147079</v>
      </c>
      <c r="C245" s="9" t="s">
        <v>648</v>
      </c>
      <c r="D245" s="8" t="str" cm="1">
        <f t="array" ref="D245">INDEX(Fields!E:E, MATCH(1, (Fields!H:H=E245)*(Fields!F:F=F245), 0))</f>
        <v>observation</v>
      </c>
      <c r="E245" s="4" t="s">
        <v>224</v>
      </c>
      <c r="F245" s="4" t="s">
        <v>240</v>
      </c>
      <c r="G245" s="6" t="s">
        <v>649</v>
      </c>
    </row>
    <row r="246" spans="2:7">
      <c r="B246" s="9">
        <v>4052938</v>
      </c>
      <c r="C246" s="9" t="s">
        <v>650</v>
      </c>
      <c r="D246" s="8" t="str" cm="1">
        <f t="array" ref="D246">INDEX(Fields!E:E, MATCH(1, (Fields!H:H=E246)*(Fields!F:F=F246), 0))</f>
        <v>observation</v>
      </c>
      <c r="E246" s="4" t="s">
        <v>224</v>
      </c>
      <c r="F246" s="4" t="s">
        <v>240</v>
      </c>
      <c r="G246" s="6" t="s">
        <v>651</v>
      </c>
    </row>
    <row r="247" spans="2:7">
      <c r="B247" s="9">
        <v>4052938</v>
      </c>
      <c r="C247" s="9" t="s">
        <v>650</v>
      </c>
      <c r="D247" s="8" t="str" cm="1">
        <f t="array" ref="D247">INDEX(Fields!E:E, MATCH(1, (Fields!H:H=E247)*(Fields!F:F=F247), 0))</f>
        <v>observation</v>
      </c>
      <c r="E247" s="4" t="s">
        <v>224</v>
      </c>
      <c r="F247" s="4" t="s">
        <v>240</v>
      </c>
      <c r="G247" s="6" t="s">
        <v>652</v>
      </c>
    </row>
    <row r="248" spans="2:7">
      <c r="B248" s="9">
        <v>4190569</v>
      </c>
      <c r="C248" s="9" t="s">
        <v>354</v>
      </c>
      <c r="D248" s="8" t="str" cm="1">
        <f t="array" ref="D248">INDEX(Fields!E:E, MATCH(1, (Fields!H:H=E248)*(Fields!F:F=F248), 0))</f>
        <v>observation</v>
      </c>
      <c r="E248" s="4" t="s">
        <v>224</v>
      </c>
      <c r="F248" s="4" t="s">
        <v>240</v>
      </c>
      <c r="G248" s="6" t="s">
        <v>653</v>
      </c>
    </row>
    <row r="249" spans="2:7">
      <c r="B249" s="9">
        <v>4052943</v>
      </c>
      <c r="C249" s="9" t="s">
        <v>654</v>
      </c>
      <c r="D249" s="8" t="str" cm="1">
        <f t="array" ref="D249">INDEX(Fields!E:E, MATCH(1, (Fields!H:H=E249)*(Fields!F:F=F249), 0))</f>
        <v>observation</v>
      </c>
      <c r="E249" s="4" t="s">
        <v>224</v>
      </c>
      <c r="F249" s="4" t="s">
        <v>240</v>
      </c>
      <c r="G249" s="6" t="s">
        <v>655</v>
      </c>
    </row>
    <row r="250" spans="2:7">
      <c r="B250" s="9">
        <v>4058123</v>
      </c>
      <c r="C250" s="9" t="s">
        <v>656</v>
      </c>
      <c r="D250" s="8" t="str" cm="1">
        <f t="array" ref="D250">INDEX(Fields!E:E, MATCH(1, (Fields!H:H=E250)*(Fields!F:F=F250), 0))</f>
        <v>observation</v>
      </c>
      <c r="E250" s="4" t="s">
        <v>224</v>
      </c>
      <c r="F250" s="4" t="s">
        <v>240</v>
      </c>
      <c r="G250" s="6" t="s">
        <v>657</v>
      </c>
    </row>
    <row r="251" spans="2:7">
      <c r="B251" s="9">
        <v>4180466</v>
      </c>
      <c r="C251" s="9" t="s">
        <v>658</v>
      </c>
      <c r="D251" s="8" t="str" cm="1">
        <f t="array" ref="D251">INDEX(Fields!E:E, MATCH(1, (Fields!H:H=E251)*(Fields!F:F=F251), 0))</f>
        <v>observation</v>
      </c>
      <c r="E251" s="4" t="s">
        <v>224</v>
      </c>
      <c r="F251" s="4" t="s">
        <v>240</v>
      </c>
      <c r="G251" s="6" t="s">
        <v>659</v>
      </c>
    </row>
    <row r="252" spans="2:7">
      <c r="B252" s="10">
        <v>4280566</v>
      </c>
      <c r="C252" s="30" t="s">
        <v>660</v>
      </c>
      <c r="D252" s="25" t="str" cm="1">
        <f t="array" ref="D252">INDEX(Fields!E:E, MATCH(1, (Fields!H:H=E252)*(Fields!F:F=F252), 0))</f>
        <v>observation</v>
      </c>
      <c r="E252" s="28" t="s">
        <v>224</v>
      </c>
      <c r="F252" s="5" t="s">
        <v>240</v>
      </c>
      <c r="G252" s="7" t="s">
        <v>661</v>
      </c>
    </row>
    <row r="253" spans="2:7">
      <c r="B253" s="19">
        <v>4258129</v>
      </c>
      <c r="C253" s="8" t="s">
        <v>662</v>
      </c>
      <c r="D253" s="8" t="str" cm="1">
        <f t="array" ref="D253">INDEX(Fields!E:E, MATCH(1, (Fields!H:H=E253)*(Fields!F:F=F253), 0))</f>
        <v>observation</v>
      </c>
      <c r="E253" s="4" t="s">
        <v>128</v>
      </c>
      <c r="F253" s="4" t="s">
        <v>126</v>
      </c>
      <c r="G253" s="6" t="s">
        <v>407</v>
      </c>
    </row>
    <row r="254" spans="2:7">
      <c r="B254" s="19">
        <v>4138519</v>
      </c>
      <c r="C254" s="8" t="s">
        <v>663</v>
      </c>
      <c r="D254" s="8" t="str" cm="1">
        <f t="array" ref="D254">INDEX(Fields!E:E, MATCH(1, (Fields!H:H=E254)*(Fields!F:F=F254), 0))</f>
        <v>observation</v>
      </c>
      <c r="E254" s="4" t="s">
        <v>128</v>
      </c>
      <c r="F254" s="4" t="s">
        <v>126</v>
      </c>
      <c r="G254" s="6" t="s">
        <v>325</v>
      </c>
    </row>
    <row r="255" spans="2:7">
      <c r="B255" s="19">
        <v>4258129</v>
      </c>
      <c r="C255" s="8" t="s">
        <v>664</v>
      </c>
      <c r="D255" s="8" t="str" cm="1">
        <f t="array" ref="D255">INDEX(Fields!E:E, MATCH(1, (Fields!H:H=E255)*(Fields!F:F=F255), 0))</f>
        <v>observation</v>
      </c>
      <c r="E255" s="4" t="s">
        <v>128</v>
      </c>
      <c r="F255" s="4" t="s">
        <v>126</v>
      </c>
      <c r="G255" s="6" t="s">
        <v>665</v>
      </c>
    </row>
    <row r="256" spans="2:7">
      <c r="B256" s="19">
        <v>4138517</v>
      </c>
      <c r="C256" s="8" t="s">
        <v>666</v>
      </c>
      <c r="D256" s="8" t="str" cm="1">
        <f t="array" ref="D256">INDEX(Fields!E:E, MATCH(1, (Fields!H:H=E256)*(Fields!F:F=F256), 0))</f>
        <v>observation</v>
      </c>
      <c r="E256" s="4" t="s">
        <v>128</v>
      </c>
      <c r="F256" s="4" t="s">
        <v>126</v>
      </c>
      <c r="G256" s="6" t="s">
        <v>409</v>
      </c>
    </row>
    <row r="257" spans="2:7">
      <c r="B257" s="19">
        <v>4146787</v>
      </c>
      <c r="C257" s="8" t="s">
        <v>667</v>
      </c>
      <c r="D257" s="8" t="str" cm="1">
        <f t="array" ref="D257">INDEX(Fields!E:E, MATCH(1, (Fields!H:H=E257)*(Fields!F:F=F257), 0))</f>
        <v>observation</v>
      </c>
      <c r="E257" s="4" t="s">
        <v>128</v>
      </c>
      <c r="F257" s="4" t="s">
        <v>126</v>
      </c>
      <c r="G257" s="6" t="s">
        <v>668</v>
      </c>
    </row>
    <row r="258" spans="2:7">
      <c r="B258" s="19">
        <v>4138516</v>
      </c>
      <c r="C258" s="8" t="s">
        <v>669</v>
      </c>
      <c r="D258" s="8" t="str" cm="1">
        <f t="array" ref="D258">INDEX(Fields!E:E, MATCH(1, (Fields!H:H=E258)*(Fields!F:F=F258), 0))</f>
        <v>observation</v>
      </c>
      <c r="E258" s="4" t="s">
        <v>128</v>
      </c>
      <c r="F258" s="4" t="s">
        <v>126</v>
      </c>
      <c r="G258" s="6" t="s">
        <v>327</v>
      </c>
    </row>
    <row r="259" spans="2:7">
      <c r="B259" s="19">
        <v>44812185</v>
      </c>
      <c r="C259" s="8" t="s">
        <v>670</v>
      </c>
      <c r="D259" s="8" t="str" cm="1">
        <f t="array" ref="D259">INDEX(Fields!E:E, MATCH(1, (Fields!H:H=E259)*(Fields!F:F=F259), 0))</f>
        <v>observation</v>
      </c>
      <c r="E259" s="4" t="s">
        <v>128</v>
      </c>
      <c r="F259" s="4" t="s">
        <v>126</v>
      </c>
      <c r="G259" s="6" t="s">
        <v>328</v>
      </c>
    </row>
    <row r="260" spans="2:7">
      <c r="B260" s="19">
        <v>44812185</v>
      </c>
      <c r="C260" s="8" t="s">
        <v>670</v>
      </c>
      <c r="D260" s="8" t="str" cm="1">
        <f t="array" ref="D260">INDEX(Fields!E:E, MATCH(1, (Fields!H:H=E260)*(Fields!F:F=F260), 0))</f>
        <v>observation</v>
      </c>
      <c r="E260" s="4" t="s">
        <v>128</v>
      </c>
      <c r="F260" s="4" t="s">
        <v>126</v>
      </c>
      <c r="G260" s="6" t="s">
        <v>410</v>
      </c>
    </row>
    <row r="261" spans="2:7">
      <c r="B261" s="19">
        <v>44812185</v>
      </c>
      <c r="C261" s="8" t="s">
        <v>670</v>
      </c>
      <c r="D261" s="8" t="str" cm="1">
        <f t="array" ref="D261">INDEX(Fields!E:E, MATCH(1, (Fields!H:H=E261)*(Fields!F:F=F261), 0))</f>
        <v>observation</v>
      </c>
      <c r="E261" s="4" t="s">
        <v>128</v>
      </c>
      <c r="F261" s="4" t="s">
        <v>126</v>
      </c>
      <c r="G261" s="6" t="s">
        <v>411</v>
      </c>
    </row>
    <row r="262" spans="2:7">
      <c r="B262" s="19">
        <v>4140955</v>
      </c>
      <c r="C262" s="8" t="s">
        <v>671</v>
      </c>
      <c r="D262" s="8" t="str" cm="1">
        <f t="array" ref="D262">INDEX(Fields!E:E, MATCH(1, (Fields!H:H=E262)*(Fields!F:F=F262), 0))</f>
        <v>observation</v>
      </c>
      <c r="E262" s="4" t="s">
        <v>128</v>
      </c>
      <c r="F262" s="4" t="s">
        <v>126</v>
      </c>
      <c r="G262" s="6" t="s">
        <v>330</v>
      </c>
    </row>
    <row r="263" spans="2:7">
      <c r="B263" s="19">
        <v>506639</v>
      </c>
      <c r="C263" s="8" t="s">
        <v>672</v>
      </c>
      <c r="D263" s="8" t="str" cm="1">
        <f t="array" ref="D263">INDEX(Fields!E:E, MATCH(1, (Fields!H:H=E263)*(Fields!F:F=F263), 0))</f>
        <v>observation</v>
      </c>
      <c r="E263" s="4" t="s">
        <v>128</v>
      </c>
      <c r="F263" s="4" t="s">
        <v>126</v>
      </c>
      <c r="G263" s="6" t="s">
        <v>414</v>
      </c>
    </row>
    <row r="264" spans="2:7">
      <c r="B264" s="19">
        <v>4140060</v>
      </c>
      <c r="C264" s="8" t="s">
        <v>673</v>
      </c>
      <c r="D264" s="8" t="str" cm="1">
        <f t="array" ref="D264">INDEX(Fields!E:E, MATCH(1, (Fields!H:H=E264)*(Fields!F:F=F264), 0))</f>
        <v>observation</v>
      </c>
      <c r="E264" s="4" t="s">
        <v>128</v>
      </c>
      <c r="F264" s="4" t="s">
        <v>126</v>
      </c>
      <c r="G264" s="6" t="s">
        <v>416</v>
      </c>
    </row>
    <row r="265" spans="2:7">
      <c r="B265" s="19">
        <v>4140032</v>
      </c>
      <c r="C265" s="8" t="s">
        <v>674</v>
      </c>
      <c r="D265" s="8" t="str" cm="1">
        <f t="array" ref="D265">INDEX(Fields!E:E, MATCH(1, (Fields!H:H=E265)*(Fields!F:F=F265), 0))</f>
        <v>observation</v>
      </c>
      <c r="E265" s="4" t="s">
        <v>128</v>
      </c>
      <c r="F265" s="4" t="s">
        <v>126</v>
      </c>
      <c r="G265" s="6" t="s">
        <v>332</v>
      </c>
    </row>
    <row r="266" spans="2:7">
      <c r="B266" s="19">
        <v>4287781</v>
      </c>
      <c r="C266" s="8" t="s">
        <v>675</v>
      </c>
      <c r="D266" s="8" t="str" cm="1">
        <f t="array" ref="D266">INDEX(Fields!E:E, MATCH(1, (Fields!H:H=E266)*(Fields!F:F=F266), 0))</f>
        <v>observation</v>
      </c>
      <c r="E266" s="4" t="s">
        <v>128</v>
      </c>
      <c r="F266" s="4" t="s">
        <v>126</v>
      </c>
      <c r="G266" s="6" t="s">
        <v>334</v>
      </c>
    </row>
    <row r="267" spans="2:7">
      <c r="B267" s="19">
        <v>4140032</v>
      </c>
      <c r="C267" s="8" t="s">
        <v>676</v>
      </c>
      <c r="D267" s="8" t="str" cm="1">
        <f t="array" ref="D267">INDEX(Fields!E:E, MATCH(1, (Fields!H:H=E267)*(Fields!F:F=F267), 0))</f>
        <v>observation</v>
      </c>
      <c r="E267" s="4" t="s">
        <v>128</v>
      </c>
      <c r="F267" s="4" t="s">
        <v>126</v>
      </c>
      <c r="G267" s="6" t="s">
        <v>335</v>
      </c>
    </row>
    <row r="268" spans="2:7">
      <c r="B268" s="19">
        <v>44791850</v>
      </c>
      <c r="C268" s="8" t="s">
        <v>677</v>
      </c>
      <c r="D268" s="8" t="str" cm="1">
        <f t="array" ref="D268">INDEX(Fields!E:E, MATCH(1, (Fields!H:H=E268)*(Fields!F:F=F268), 0))</f>
        <v>observation</v>
      </c>
      <c r="E268" s="4" t="s">
        <v>128</v>
      </c>
      <c r="F268" s="4" t="s">
        <v>126</v>
      </c>
      <c r="G268" s="6" t="s">
        <v>417</v>
      </c>
    </row>
    <row r="269" spans="2:7">
      <c r="B269" s="19">
        <v>44806052</v>
      </c>
      <c r="C269" t="s">
        <v>678</v>
      </c>
      <c r="D269" s="8" t="str" cm="1">
        <f t="array" ref="D269">INDEX(Fields!E:E, MATCH(1, (Fields!H:H=E269)*(Fields!F:F=F269), 0))</f>
        <v>observation</v>
      </c>
      <c r="E269" s="4" t="s">
        <v>128</v>
      </c>
      <c r="F269" s="4" t="s">
        <v>126</v>
      </c>
      <c r="G269" s="6" t="s">
        <v>423</v>
      </c>
    </row>
    <row r="270" spans="2:7">
      <c r="B270" s="19">
        <v>44787834</v>
      </c>
      <c r="C270" s="8" t="s">
        <v>679</v>
      </c>
      <c r="D270" s="8" t="str" cm="1">
        <f t="array" ref="D270">INDEX(Fields!E:E, MATCH(1, (Fields!H:H=E270)*(Fields!F:F=F270), 0))</f>
        <v>observation</v>
      </c>
      <c r="E270" s="4" t="s">
        <v>128</v>
      </c>
      <c r="F270" s="4" t="s">
        <v>126</v>
      </c>
      <c r="G270" s="6" t="s">
        <v>337</v>
      </c>
    </row>
    <row r="271" spans="2:7">
      <c r="B271" s="19">
        <v>4258129</v>
      </c>
      <c r="C271" s="8" t="s">
        <v>680</v>
      </c>
      <c r="D271" s="8" t="str" cm="1">
        <f t="array" ref="D271">INDEX(Fields!E:E, MATCH(1, (Fields!H:H=E271)*(Fields!F:F=F271), 0))</f>
        <v>observation</v>
      </c>
      <c r="E271" s="4" t="s">
        <v>128</v>
      </c>
      <c r="F271" s="4" t="s">
        <v>126</v>
      </c>
      <c r="G271" s="6" t="s">
        <v>339</v>
      </c>
    </row>
    <row r="272" spans="2:7">
      <c r="B272" s="19">
        <v>4258129</v>
      </c>
      <c r="C272" s="8" t="s">
        <v>680</v>
      </c>
      <c r="D272" s="8" t="str" cm="1">
        <f t="array" ref="D272">INDEX(Fields!E:E, MATCH(1, (Fields!H:H=E272)*(Fields!F:F=F272), 0))</f>
        <v>observation</v>
      </c>
      <c r="E272" s="4" t="s">
        <v>128</v>
      </c>
      <c r="F272" s="4" t="s">
        <v>126</v>
      </c>
      <c r="G272" s="6" t="s">
        <v>340</v>
      </c>
    </row>
    <row r="273" spans="2:7">
      <c r="B273" s="19">
        <v>44812186</v>
      </c>
      <c r="C273" t="s">
        <v>681</v>
      </c>
      <c r="D273" s="8" t="str" cm="1">
        <f t="array" ref="D273">INDEX(Fields!E:E, MATCH(1, (Fields!H:H=E273)*(Fields!F:F=F273), 0))</f>
        <v>observation</v>
      </c>
      <c r="E273" s="4" t="s">
        <v>128</v>
      </c>
      <c r="F273" s="4" t="s">
        <v>126</v>
      </c>
      <c r="G273" s="6" t="s">
        <v>342</v>
      </c>
    </row>
    <row r="274" spans="2:7">
      <c r="B274" s="19">
        <v>44787859</v>
      </c>
      <c r="C274" s="8" t="s">
        <v>682</v>
      </c>
      <c r="D274" s="8" t="str" cm="1">
        <f t="array" ref="D274">INDEX(Fields!E:E, MATCH(1, (Fields!H:H=E274)*(Fields!F:F=F274), 0))</f>
        <v>observation</v>
      </c>
      <c r="E274" s="4" t="s">
        <v>128</v>
      </c>
      <c r="F274" s="4" t="s">
        <v>126</v>
      </c>
      <c r="G274" s="6" t="s">
        <v>344</v>
      </c>
    </row>
    <row r="275" spans="2:7">
      <c r="B275" s="19">
        <v>44812252</v>
      </c>
      <c r="C275" s="8" t="s">
        <v>683</v>
      </c>
      <c r="D275" s="8" t="str" cm="1">
        <f t="array" ref="D275">INDEX(Fields!E:E, MATCH(1, (Fields!H:H=E275)*(Fields!F:F=F275), 0))</f>
        <v>observation</v>
      </c>
      <c r="E275" s="4" t="s">
        <v>128</v>
      </c>
      <c r="F275" s="4" t="s">
        <v>126</v>
      </c>
      <c r="G275" s="6" t="s">
        <v>345</v>
      </c>
    </row>
    <row r="276" spans="2:7">
      <c r="B276" s="19">
        <v>4258129</v>
      </c>
      <c r="C276" s="8" t="s">
        <v>662</v>
      </c>
      <c r="D276" s="8" t="str" cm="1">
        <f t="array" ref="D276">INDEX(Fields!E:E, MATCH(1, (Fields!H:H=E276)*(Fields!F:F=F276), 0))</f>
        <v>observation</v>
      </c>
      <c r="E276" s="4" t="s">
        <v>128</v>
      </c>
      <c r="F276" s="4" t="s">
        <v>126</v>
      </c>
      <c r="G276" s="6" t="s">
        <v>347</v>
      </c>
    </row>
    <row r="277" spans="2:7">
      <c r="E277" s="4"/>
      <c r="F277" s="4"/>
    </row>
    <row r="278" spans="2:7">
      <c r="E278" s="4"/>
      <c r="F278" s="4"/>
    </row>
    <row r="279" spans="2:7">
      <c r="E279" s="4"/>
      <c r="F279" s="4"/>
    </row>
    <row r="280" spans="2:7">
      <c r="E280" s="4"/>
      <c r="F280" s="4"/>
    </row>
    <row r="281" spans="2:7">
      <c r="E281" s="4"/>
      <c r="F281" s="4"/>
    </row>
    <row r="282" spans="2:7">
      <c r="E282" s="4"/>
      <c r="F282" s="4"/>
    </row>
    <row r="283" spans="2:7">
      <c r="E283" s="4"/>
      <c r="F283" s="4"/>
    </row>
    <row r="284" spans="2:7">
      <c r="C284" s="8"/>
      <c r="D284" s="8"/>
      <c r="E284" s="4"/>
      <c r="F284" s="4"/>
    </row>
    <row r="285" spans="2:7">
      <c r="E285" s="4"/>
      <c r="F285" s="4"/>
    </row>
    <row r="286" spans="2:7">
      <c r="E286" s="4"/>
      <c r="F286" s="4"/>
    </row>
    <row r="287" spans="2:7">
      <c r="E287" s="4"/>
      <c r="F287" s="4"/>
    </row>
    <row r="288" spans="2:7">
      <c r="E288" s="4"/>
      <c r="F28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B5410-C470-4C71-873B-98D8B60CF2F3}">
  <sheetPr>
    <tabColor theme="8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9"/>
  <sheetViews>
    <sheetView workbookViewId="0">
      <selection activeCell="A201" sqref="A201:XFD201"/>
    </sheetView>
  </sheetViews>
  <sheetFormatPr defaultRowHeight="15"/>
  <cols>
    <col min="1" max="1" width="29.140625" customWidth="1"/>
    <col min="2" max="2" width="46.5703125" customWidth="1"/>
    <col min="3" max="3" width="49.7109375" customWidth="1"/>
  </cols>
  <sheetData>
    <row r="1" spans="1:3">
      <c r="A1" s="2" t="s">
        <v>266</v>
      </c>
      <c r="B1" s="2" t="s">
        <v>684</v>
      </c>
      <c r="C1" s="2" t="s">
        <v>5</v>
      </c>
    </row>
    <row r="2" spans="1:3" ht="21">
      <c r="A2" t="s">
        <v>685</v>
      </c>
      <c r="B2" s="1" t="s">
        <v>686</v>
      </c>
      <c r="C2" t="s">
        <v>687</v>
      </c>
    </row>
    <row r="3" spans="1:3">
      <c r="A3" t="s">
        <v>685</v>
      </c>
      <c r="B3" t="s">
        <v>10</v>
      </c>
      <c r="C3" t="s">
        <v>11</v>
      </c>
    </row>
    <row r="4" spans="1:3">
      <c r="A4" t="s">
        <v>685</v>
      </c>
      <c r="B4" t="s">
        <v>14</v>
      </c>
      <c r="C4" t="s">
        <v>15</v>
      </c>
    </row>
    <row r="5" spans="1:3">
      <c r="A5" t="s">
        <v>685</v>
      </c>
      <c r="B5" t="s">
        <v>17</v>
      </c>
      <c r="C5" t="s">
        <v>18</v>
      </c>
    </row>
    <row r="6" spans="1:3">
      <c r="A6" t="s">
        <v>685</v>
      </c>
      <c r="B6" t="s">
        <v>20</v>
      </c>
      <c r="C6" t="s">
        <v>21</v>
      </c>
    </row>
    <row r="7" spans="1:3">
      <c r="A7" t="s">
        <v>685</v>
      </c>
      <c r="B7" t="s">
        <v>24</v>
      </c>
      <c r="C7" t="s">
        <v>25</v>
      </c>
    </row>
    <row r="8" spans="1:3">
      <c r="A8" t="s">
        <v>685</v>
      </c>
      <c r="B8" t="s">
        <v>688</v>
      </c>
      <c r="C8" t="s">
        <v>689</v>
      </c>
    </row>
    <row r="9" spans="1:3">
      <c r="A9" t="s">
        <v>685</v>
      </c>
      <c r="B9" t="s">
        <v>27</v>
      </c>
      <c r="C9" t="s">
        <v>28</v>
      </c>
    </row>
    <row r="10" spans="1:3">
      <c r="A10" t="s">
        <v>685</v>
      </c>
      <c r="B10" t="s">
        <v>690</v>
      </c>
      <c r="C10" t="s">
        <v>691</v>
      </c>
    </row>
    <row r="11" spans="1:3">
      <c r="A11" t="s">
        <v>685</v>
      </c>
      <c r="B11" t="s">
        <v>692</v>
      </c>
      <c r="C11" t="s">
        <v>693</v>
      </c>
    </row>
    <row r="12" spans="1:3">
      <c r="A12" t="s">
        <v>685</v>
      </c>
      <c r="B12" t="s">
        <v>694</v>
      </c>
      <c r="C12" t="s">
        <v>695</v>
      </c>
    </row>
    <row r="13" spans="1:3">
      <c r="A13" t="s">
        <v>685</v>
      </c>
      <c r="B13" t="s">
        <v>696</v>
      </c>
      <c r="C13" t="s">
        <v>697</v>
      </c>
    </row>
    <row r="14" spans="1:3">
      <c r="A14" t="s">
        <v>685</v>
      </c>
      <c r="B14" t="s">
        <v>698</v>
      </c>
      <c r="C14" t="s">
        <v>699</v>
      </c>
    </row>
    <row r="16" spans="1:3" ht="21">
      <c r="A16" t="s">
        <v>34</v>
      </c>
      <c r="B16" s="1" t="s">
        <v>700</v>
      </c>
      <c r="C16" t="s">
        <v>701</v>
      </c>
    </row>
    <row r="17" spans="1:3">
      <c r="A17" t="s">
        <v>34</v>
      </c>
      <c r="B17" t="s">
        <v>32</v>
      </c>
      <c r="C17" t="s">
        <v>33</v>
      </c>
    </row>
    <row r="18" spans="1:3">
      <c r="A18" t="s">
        <v>34</v>
      </c>
      <c r="B18" t="s">
        <v>702</v>
      </c>
      <c r="C18" t="s">
        <v>703</v>
      </c>
    </row>
    <row r="19" spans="1:3">
      <c r="A19" t="s">
        <v>34</v>
      </c>
      <c r="B19" t="s">
        <v>690</v>
      </c>
      <c r="C19" t="s">
        <v>691</v>
      </c>
    </row>
    <row r="20" spans="1:3">
      <c r="A20" t="s">
        <v>34</v>
      </c>
      <c r="B20" t="s">
        <v>692</v>
      </c>
      <c r="C20" t="s">
        <v>693</v>
      </c>
    </row>
    <row r="21" spans="1:3">
      <c r="A21" t="s">
        <v>34</v>
      </c>
      <c r="B21" t="s">
        <v>694</v>
      </c>
      <c r="C21" t="s">
        <v>695</v>
      </c>
    </row>
    <row r="22" spans="1:3">
      <c r="A22" t="s">
        <v>34</v>
      </c>
      <c r="B22" t="s">
        <v>704</v>
      </c>
      <c r="C22" t="s">
        <v>705</v>
      </c>
    </row>
    <row r="23" spans="1:3">
      <c r="A23" t="s">
        <v>34</v>
      </c>
      <c r="B23" t="s">
        <v>37</v>
      </c>
      <c r="C23" t="s">
        <v>706</v>
      </c>
    </row>
    <row r="24" spans="1:3">
      <c r="A24" t="s">
        <v>34</v>
      </c>
      <c r="B24" t="s">
        <v>40</v>
      </c>
      <c r="C24" t="s">
        <v>707</v>
      </c>
    </row>
    <row r="25" spans="1:3">
      <c r="A25" t="s">
        <v>34</v>
      </c>
      <c r="B25" t="s">
        <v>43</v>
      </c>
      <c r="C25" t="s">
        <v>44</v>
      </c>
    </row>
    <row r="26" spans="1:3">
      <c r="A26" t="s">
        <v>34</v>
      </c>
      <c r="B26" t="s">
        <v>708</v>
      </c>
      <c r="C26" t="s">
        <v>709</v>
      </c>
    </row>
    <row r="27" spans="1:3">
      <c r="A27" t="s">
        <v>34</v>
      </c>
      <c r="B27" t="s">
        <v>47</v>
      </c>
      <c r="C27" t="s">
        <v>48</v>
      </c>
    </row>
    <row r="28" spans="1:3">
      <c r="A28" t="s">
        <v>34</v>
      </c>
      <c r="B28" t="s">
        <v>50</v>
      </c>
      <c r="C28" t="s">
        <v>51</v>
      </c>
    </row>
    <row r="29" spans="1:3">
      <c r="A29" t="s">
        <v>34</v>
      </c>
      <c r="B29" t="s">
        <v>696</v>
      </c>
      <c r="C29" t="s">
        <v>697</v>
      </c>
    </row>
    <row r="30" spans="1:3">
      <c r="A30" t="s">
        <v>34</v>
      </c>
      <c r="B30" t="s">
        <v>698</v>
      </c>
      <c r="C30" t="s">
        <v>699</v>
      </c>
    </row>
    <row r="32" spans="1:3" ht="21">
      <c r="A32" t="s">
        <v>55</v>
      </c>
      <c r="B32" s="1" t="s">
        <v>710</v>
      </c>
      <c r="C32" t="s">
        <v>54</v>
      </c>
    </row>
    <row r="33" spans="1:3">
      <c r="A33" t="s">
        <v>55</v>
      </c>
      <c r="B33" t="s">
        <v>711</v>
      </c>
      <c r="C33" t="s">
        <v>712</v>
      </c>
    </row>
    <row r="34" spans="1:3">
      <c r="A34" t="s">
        <v>55</v>
      </c>
      <c r="B34" t="s">
        <v>57</v>
      </c>
      <c r="C34" t="s">
        <v>58</v>
      </c>
    </row>
    <row r="35" spans="1:3">
      <c r="A35" t="s">
        <v>55</v>
      </c>
      <c r="B35" t="s">
        <v>61</v>
      </c>
      <c r="C35" t="s">
        <v>62</v>
      </c>
    </row>
    <row r="36" spans="1:3">
      <c r="A36" t="s">
        <v>55</v>
      </c>
      <c r="B36" t="s">
        <v>64</v>
      </c>
      <c r="C36" t="s">
        <v>65</v>
      </c>
    </row>
    <row r="37" spans="1:3">
      <c r="A37" t="s">
        <v>55</v>
      </c>
      <c r="B37" t="s">
        <v>66</v>
      </c>
      <c r="C37" t="s">
        <v>706</v>
      </c>
    </row>
    <row r="38" spans="1:3">
      <c r="A38" t="s">
        <v>55</v>
      </c>
      <c r="B38" t="s">
        <v>67</v>
      </c>
      <c r="C38" t="s">
        <v>68</v>
      </c>
    </row>
    <row r="39" spans="1:3">
      <c r="A39" t="s">
        <v>55</v>
      </c>
      <c r="B39" t="s">
        <v>70</v>
      </c>
      <c r="C39" t="s">
        <v>71</v>
      </c>
    </row>
    <row r="40" spans="1:3">
      <c r="A40" t="s">
        <v>55</v>
      </c>
      <c r="B40" t="s">
        <v>73</v>
      </c>
      <c r="C40" t="s">
        <v>74</v>
      </c>
    </row>
    <row r="41" spans="1:3">
      <c r="A41" t="s">
        <v>55</v>
      </c>
      <c r="B41" t="s">
        <v>76</v>
      </c>
      <c r="C41" t="s">
        <v>77</v>
      </c>
    </row>
    <row r="42" spans="1:3">
      <c r="A42" t="s">
        <v>55</v>
      </c>
      <c r="B42" t="s">
        <v>79</v>
      </c>
      <c r="C42" t="s">
        <v>44</v>
      </c>
    </row>
    <row r="43" spans="1:3">
      <c r="A43" t="s">
        <v>55</v>
      </c>
      <c r="B43" t="s">
        <v>81</v>
      </c>
      <c r="C43" t="s">
        <v>82</v>
      </c>
    </row>
    <row r="44" spans="1:3">
      <c r="A44" t="s">
        <v>55</v>
      </c>
      <c r="B44" t="s">
        <v>84</v>
      </c>
      <c r="C44" t="s">
        <v>85</v>
      </c>
    </row>
    <row r="45" spans="1:3">
      <c r="A45" t="s">
        <v>55</v>
      </c>
      <c r="B45" t="s">
        <v>89</v>
      </c>
      <c r="C45" t="s">
        <v>90</v>
      </c>
    </row>
    <row r="46" spans="1:3">
      <c r="A46" t="s">
        <v>55</v>
      </c>
      <c r="B46" t="s">
        <v>713</v>
      </c>
      <c r="C46" t="s">
        <v>714</v>
      </c>
    </row>
    <row r="47" spans="1:3">
      <c r="A47" t="s">
        <v>55</v>
      </c>
      <c r="B47" t="s">
        <v>690</v>
      </c>
      <c r="C47" t="s">
        <v>691</v>
      </c>
    </row>
    <row r="48" spans="1:3">
      <c r="A48" t="s">
        <v>55</v>
      </c>
      <c r="B48" t="s">
        <v>692</v>
      </c>
      <c r="C48" t="s">
        <v>693</v>
      </c>
    </row>
    <row r="49" spans="1:3">
      <c r="A49" t="s">
        <v>55</v>
      </c>
      <c r="B49" t="s">
        <v>694</v>
      </c>
      <c r="C49" t="s">
        <v>695</v>
      </c>
    </row>
    <row r="50" spans="1:3">
      <c r="A50" t="s">
        <v>55</v>
      </c>
      <c r="B50" t="s">
        <v>696</v>
      </c>
      <c r="C50" t="s">
        <v>697</v>
      </c>
    </row>
    <row r="51" spans="1:3">
      <c r="A51" t="s">
        <v>55</v>
      </c>
      <c r="B51" t="s">
        <v>698</v>
      </c>
      <c r="C51" t="s">
        <v>699</v>
      </c>
    </row>
    <row r="53" spans="1:3" ht="21">
      <c r="A53" t="s">
        <v>95</v>
      </c>
      <c r="B53" s="1" t="s">
        <v>715</v>
      </c>
      <c r="C53" t="s">
        <v>94</v>
      </c>
    </row>
    <row r="54" spans="1:3">
      <c r="A54" t="s">
        <v>95</v>
      </c>
      <c r="B54" t="s">
        <v>97</v>
      </c>
      <c r="C54" t="s">
        <v>98</v>
      </c>
    </row>
    <row r="55" spans="1:3">
      <c r="A55" t="s">
        <v>95</v>
      </c>
      <c r="B55" t="s">
        <v>100</v>
      </c>
      <c r="C55" t="s">
        <v>101</v>
      </c>
    </row>
    <row r="56" spans="1:3">
      <c r="A56" t="s">
        <v>95</v>
      </c>
      <c r="B56" t="s">
        <v>103</v>
      </c>
      <c r="C56" t="s">
        <v>104</v>
      </c>
    </row>
    <row r="57" spans="1:3">
      <c r="A57" t="s">
        <v>95</v>
      </c>
      <c r="B57" t="s">
        <v>106</v>
      </c>
      <c r="C57" t="s">
        <v>107</v>
      </c>
    </row>
    <row r="58" spans="1:3">
      <c r="A58" t="s">
        <v>95</v>
      </c>
      <c r="B58" t="s">
        <v>108</v>
      </c>
      <c r="C58" t="s">
        <v>706</v>
      </c>
    </row>
    <row r="59" spans="1:3">
      <c r="A59" t="s">
        <v>95</v>
      </c>
      <c r="B59" t="s">
        <v>110</v>
      </c>
      <c r="C59" t="s">
        <v>111</v>
      </c>
    </row>
    <row r="60" spans="1:3">
      <c r="A60" t="s">
        <v>95</v>
      </c>
      <c r="B60" t="s">
        <v>113</v>
      </c>
      <c r="C60" t="s">
        <v>114</v>
      </c>
    </row>
    <row r="61" spans="1:3">
      <c r="A61" t="s">
        <v>95</v>
      </c>
      <c r="B61" t="s">
        <v>115</v>
      </c>
      <c r="C61" t="s">
        <v>71</v>
      </c>
    </row>
    <row r="62" spans="1:3">
      <c r="A62" t="s">
        <v>95</v>
      </c>
      <c r="B62" t="s">
        <v>116</v>
      </c>
      <c r="C62" t="s">
        <v>117</v>
      </c>
    </row>
    <row r="63" spans="1:3">
      <c r="A63" t="s">
        <v>95</v>
      </c>
      <c r="B63" t="s">
        <v>716</v>
      </c>
      <c r="C63" t="s">
        <v>717</v>
      </c>
    </row>
    <row r="64" spans="1:3">
      <c r="A64" t="s">
        <v>95</v>
      </c>
      <c r="B64" t="s">
        <v>119</v>
      </c>
      <c r="C64" t="s">
        <v>120</v>
      </c>
    </row>
    <row r="65" spans="1:3">
      <c r="A65" t="s">
        <v>95</v>
      </c>
      <c r="B65" t="s">
        <v>123</v>
      </c>
      <c r="C65" t="s">
        <v>124</v>
      </c>
    </row>
    <row r="66" spans="1:3">
      <c r="A66" t="s">
        <v>95</v>
      </c>
      <c r="B66" t="s">
        <v>690</v>
      </c>
      <c r="C66" t="s">
        <v>691</v>
      </c>
    </row>
    <row r="67" spans="1:3">
      <c r="A67" t="s">
        <v>95</v>
      </c>
      <c r="B67" t="s">
        <v>692</v>
      </c>
      <c r="C67" t="s">
        <v>693</v>
      </c>
    </row>
    <row r="68" spans="1:3">
      <c r="A68" t="s">
        <v>95</v>
      </c>
      <c r="B68" t="s">
        <v>694</v>
      </c>
      <c r="C68" t="s">
        <v>695</v>
      </c>
    </row>
    <row r="69" spans="1:3">
      <c r="A69" t="s">
        <v>95</v>
      </c>
      <c r="B69" t="s">
        <v>696</v>
      </c>
      <c r="C69" t="s">
        <v>697</v>
      </c>
    </row>
    <row r="70" spans="1:3">
      <c r="A70" t="s">
        <v>95</v>
      </c>
      <c r="B70" t="s">
        <v>698</v>
      </c>
      <c r="C70" t="s">
        <v>699</v>
      </c>
    </row>
    <row r="72" spans="1:3" ht="21">
      <c r="A72" t="s">
        <v>128</v>
      </c>
      <c r="B72" s="1" t="s">
        <v>718</v>
      </c>
      <c r="C72" t="s">
        <v>127</v>
      </c>
    </row>
    <row r="73" spans="1:3">
      <c r="A73" t="s">
        <v>128</v>
      </c>
      <c r="B73" t="s">
        <v>690</v>
      </c>
      <c r="C73" t="s">
        <v>691</v>
      </c>
    </row>
    <row r="74" spans="1:3">
      <c r="A74" t="s">
        <v>128</v>
      </c>
      <c r="B74" t="s">
        <v>692</v>
      </c>
      <c r="C74" t="s">
        <v>693</v>
      </c>
    </row>
    <row r="75" spans="1:3">
      <c r="A75" t="s">
        <v>128</v>
      </c>
      <c r="B75" t="s">
        <v>719</v>
      </c>
      <c r="C75" t="s">
        <v>720</v>
      </c>
    </row>
    <row r="76" spans="1:3">
      <c r="A76" t="s">
        <v>128</v>
      </c>
      <c r="B76" t="s">
        <v>721</v>
      </c>
      <c r="C76" t="s">
        <v>722</v>
      </c>
    </row>
    <row r="77" spans="1:3">
      <c r="A77" t="s">
        <v>128</v>
      </c>
      <c r="B77" t="s">
        <v>130</v>
      </c>
      <c r="C77" t="s">
        <v>131</v>
      </c>
    </row>
    <row r="78" spans="1:3">
      <c r="A78" t="s">
        <v>128</v>
      </c>
      <c r="B78" t="s">
        <v>132</v>
      </c>
      <c r="C78" t="s">
        <v>133</v>
      </c>
    </row>
    <row r="79" spans="1:3">
      <c r="A79" t="s">
        <v>128</v>
      </c>
      <c r="B79" t="s">
        <v>694</v>
      </c>
      <c r="C79" t="s">
        <v>723</v>
      </c>
    </row>
    <row r="80" spans="1:3">
      <c r="A80" t="s">
        <v>128</v>
      </c>
      <c r="B80" t="s">
        <v>135</v>
      </c>
      <c r="C80" t="s">
        <v>136</v>
      </c>
    </row>
    <row r="81" spans="1:3">
      <c r="A81" t="s">
        <v>128</v>
      </c>
      <c r="B81" t="s">
        <v>138</v>
      </c>
      <c r="C81" t="s">
        <v>724</v>
      </c>
    </row>
    <row r="82" spans="1:3">
      <c r="A82" t="s">
        <v>128</v>
      </c>
      <c r="B82" t="s">
        <v>141</v>
      </c>
      <c r="C82" t="s">
        <v>142</v>
      </c>
    </row>
    <row r="83" spans="1:3">
      <c r="A83" t="s">
        <v>128</v>
      </c>
      <c r="B83" t="s">
        <v>144</v>
      </c>
      <c r="C83" t="s">
        <v>145</v>
      </c>
    </row>
    <row r="84" spans="1:3">
      <c r="A84" t="s">
        <v>128</v>
      </c>
      <c r="B84" t="s">
        <v>147</v>
      </c>
      <c r="C84" t="s">
        <v>148</v>
      </c>
    </row>
    <row r="85" spans="1:3">
      <c r="A85" t="s">
        <v>128</v>
      </c>
      <c r="B85" t="s">
        <v>150</v>
      </c>
      <c r="C85" t="s">
        <v>725</v>
      </c>
    </row>
    <row r="86" spans="1:3">
      <c r="A86" t="s">
        <v>128</v>
      </c>
      <c r="B86" t="s">
        <v>152</v>
      </c>
      <c r="C86" t="s">
        <v>706</v>
      </c>
    </row>
    <row r="87" spans="1:3">
      <c r="A87" t="s">
        <v>128</v>
      </c>
      <c r="B87" t="s">
        <v>153</v>
      </c>
      <c r="C87" t="s">
        <v>111</v>
      </c>
    </row>
    <row r="88" spans="1:3">
      <c r="A88" t="s">
        <v>128</v>
      </c>
      <c r="B88" t="s">
        <v>154</v>
      </c>
      <c r="C88" t="s">
        <v>71</v>
      </c>
    </row>
    <row r="89" spans="1:3">
      <c r="A89" t="s">
        <v>128</v>
      </c>
      <c r="B89" t="s">
        <v>155</v>
      </c>
      <c r="C89" t="s">
        <v>51</v>
      </c>
    </row>
    <row r="90" spans="1:3">
      <c r="A90" t="s">
        <v>128</v>
      </c>
      <c r="B90" t="s">
        <v>156</v>
      </c>
      <c r="C90" t="s">
        <v>85</v>
      </c>
    </row>
    <row r="91" spans="1:3">
      <c r="A91" t="s">
        <v>128</v>
      </c>
      <c r="B91" t="s">
        <v>726</v>
      </c>
      <c r="C91" t="s">
        <v>727</v>
      </c>
    </row>
    <row r="92" spans="1:3">
      <c r="A92" t="s">
        <v>128</v>
      </c>
      <c r="B92" t="s">
        <v>696</v>
      </c>
      <c r="C92" t="s">
        <v>697</v>
      </c>
    </row>
    <row r="93" spans="1:3">
      <c r="A93" t="s">
        <v>128</v>
      </c>
      <c r="B93" t="s">
        <v>698</v>
      </c>
      <c r="C93" t="s">
        <v>699</v>
      </c>
    </row>
    <row r="95" spans="1:3" ht="21">
      <c r="A95" t="s">
        <v>160</v>
      </c>
      <c r="B95" s="1" t="s">
        <v>728</v>
      </c>
      <c r="C95" t="s">
        <v>159</v>
      </c>
    </row>
    <row r="96" spans="1:3">
      <c r="A96" t="s">
        <v>160</v>
      </c>
      <c r="B96" t="s">
        <v>162</v>
      </c>
      <c r="C96" t="s">
        <v>163</v>
      </c>
    </row>
    <row r="97" spans="1:3">
      <c r="A97" t="s">
        <v>160</v>
      </c>
      <c r="B97" t="s">
        <v>729</v>
      </c>
      <c r="C97" t="s">
        <v>730</v>
      </c>
    </row>
    <row r="98" spans="1:3">
      <c r="A98" t="s">
        <v>160</v>
      </c>
      <c r="B98" t="s">
        <v>731</v>
      </c>
      <c r="C98" t="s">
        <v>732</v>
      </c>
    </row>
    <row r="99" spans="1:3">
      <c r="A99" t="s">
        <v>160</v>
      </c>
      <c r="B99" t="s">
        <v>164</v>
      </c>
      <c r="C99" t="s">
        <v>165</v>
      </c>
    </row>
    <row r="100" spans="1:3">
      <c r="A100" t="s">
        <v>160</v>
      </c>
      <c r="B100" t="s">
        <v>167</v>
      </c>
      <c r="C100" t="s">
        <v>168</v>
      </c>
    </row>
    <row r="101" spans="1:3">
      <c r="A101" t="s">
        <v>160</v>
      </c>
      <c r="B101" t="s">
        <v>170</v>
      </c>
      <c r="C101" t="s">
        <v>169</v>
      </c>
    </row>
    <row r="102" spans="1:3">
      <c r="A102" t="s">
        <v>160</v>
      </c>
      <c r="B102" t="s">
        <v>690</v>
      </c>
      <c r="C102" t="s">
        <v>691</v>
      </c>
    </row>
    <row r="103" spans="1:3">
      <c r="A103" t="s">
        <v>160</v>
      </c>
      <c r="B103" t="s">
        <v>692</v>
      </c>
      <c r="C103" t="s">
        <v>693</v>
      </c>
    </row>
    <row r="104" spans="1:3">
      <c r="A104" t="s">
        <v>160</v>
      </c>
      <c r="B104" t="s">
        <v>694</v>
      </c>
      <c r="C104" t="s">
        <v>695</v>
      </c>
    </row>
    <row r="105" spans="1:3">
      <c r="A105" t="s">
        <v>160</v>
      </c>
      <c r="B105" t="s">
        <v>696</v>
      </c>
      <c r="C105" t="s">
        <v>697</v>
      </c>
    </row>
    <row r="106" spans="1:3">
      <c r="A106" t="s">
        <v>160</v>
      </c>
      <c r="B106" t="s">
        <v>698</v>
      </c>
      <c r="C106" t="s">
        <v>699</v>
      </c>
    </row>
    <row r="108" spans="1:3" ht="21">
      <c r="A108" t="s">
        <v>173</v>
      </c>
      <c r="B108" s="1" t="s">
        <v>733</v>
      </c>
      <c r="C108" t="s">
        <v>117</v>
      </c>
    </row>
    <row r="109" spans="1:3">
      <c r="A109" t="s">
        <v>173</v>
      </c>
      <c r="B109" t="s">
        <v>119</v>
      </c>
      <c r="C109" t="s">
        <v>120</v>
      </c>
    </row>
    <row r="110" spans="1:3">
      <c r="A110" t="s">
        <v>173</v>
      </c>
      <c r="B110" t="s">
        <v>123</v>
      </c>
      <c r="C110" t="s">
        <v>124</v>
      </c>
    </row>
    <row r="111" spans="1:3">
      <c r="A111" t="s">
        <v>173</v>
      </c>
      <c r="B111" t="s">
        <v>177</v>
      </c>
      <c r="C111" t="s">
        <v>178</v>
      </c>
    </row>
    <row r="112" spans="1:3">
      <c r="A112" t="s">
        <v>173</v>
      </c>
      <c r="B112" t="s">
        <v>179</v>
      </c>
      <c r="C112" t="s">
        <v>180</v>
      </c>
    </row>
    <row r="113" spans="1:3">
      <c r="A113" t="s">
        <v>173</v>
      </c>
      <c r="B113" t="s">
        <v>181</v>
      </c>
      <c r="C113" t="s">
        <v>706</v>
      </c>
    </row>
    <row r="114" spans="1:3">
      <c r="A114" t="s">
        <v>173</v>
      </c>
      <c r="B114" t="s">
        <v>734</v>
      </c>
      <c r="C114" t="s">
        <v>735</v>
      </c>
    </row>
    <row r="115" spans="1:3">
      <c r="A115" t="s">
        <v>173</v>
      </c>
      <c r="B115" t="s">
        <v>736</v>
      </c>
      <c r="C115" t="s">
        <v>737</v>
      </c>
    </row>
    <row r="116" spans="1:3">
      <c r="A116" t="s">
        <v>173</v>
      </c>
      <c r="B116" t="s">
        <v>690</v>
      </c>
      <c r="C116" t="s">
        <v>691</v>
      </c>
    </row>
    <row r="117" spans="1:3">
      <c r="A117" t="s">
        <v>173</v>
      </c>
      <c r="B117" t="s">
        <v>692</v>
      </c>
      <c r="C117" t="s">
        <v>693</v>
      </c>
    </row>
    <row r="118" spans="1:3">
      <c r="A118" t="s">
        <v>173</v>
      </c>
      <c r="B118" t="s">
        <v>696</v>
      </c>
      <c r="C118" t="s">
        <v>697</v>
      </c>
    </row>
    <row r="119" spans="1:3">
      <c r="A119" t="s">
        <v>173</v>
      </c>
      <c r="B119" t="s">
        <v>738</v>
      </c>
      <c r="C119" t="s">
        <v>699</v>
      </c>
    </row>
    <row r="121" spans="1:3" ht="21">
      <c r="A121" t="s">
        <v>184</v>
      </c>
      <c r="B121" s="1" t="s">
        <v>739</v>
      </c>
      <c r="C121" t="s">
        <v>740</v>
      </c>
    </row>
    <row r="122" spans="1:3">
      <c r="A122" t="s">
        <v>184</v>
      </c>
      <c r="B122" t="s">
        <v>741</v>
      </c>
      <c r="C122" t="s">
        <v>742</v>
      </c>
    </row>
    <row r="123" spans="1:3">
      <c r="A123" t="s">
        <v>184</v>
      </c>
      <c r="B123" t="s">
        <v>183</v>
      </c>
      <c r="C123" t="s">
        <v>90</v>
      </c>
    </row>
    <row r="124" spans="1:3">
      <c r="A124" t="s">
        <v>184</v>
      </c>
      <c r="B124" t="s">
        <v>187</v>
      </c>
      <c r="C124" t="s">
        <v>188</v>
      </c>
    </row>
    <row r="125" spans="1:3">
      <c r="A125" t="s">
        <v>184</v>
      </c>
      <c r="B125" t="s">
        <v>713</v>
      </c>
      <c r="C125" t="s">
        <v>743</v>
      </c>
    </row>
    <row r="126" spans="1:3">
      <c r="A126" t="s">
        <v>184</v>
      </c>
      <c r="B126" t="s">
        <v>744</v>
      </c>
      <c r="C126" t="s">
        <v>745</v>
      </c>
    </row>
    <row r="127" spans="1:3">
      <c r="A127" t="s">
        <v>184</v>
      </c>
      <c r="B127" t="s">
        <v>746</v>
      </c>
      <c r="C127" t="s">
        <v>747</v>
      </c>
    </row>
    <row r="128" spans="1:3">
      <c r="A128" t="s">
        <v>184</v>
      </c>
      <c r="B128" t="s">
        <v>690</v>
      </c>
      <c r="C128" t="s">
        <v>691</v>
      </c>
    </row>
    <row r="129" spans="1:3">
      <c r="A129" t="s">
        <v>184</v>
      </c>
      <c r="B129" t="s">
        <v>692</v>
      </c>
      <c r="C129" t="s">
        <v>693</v>
      </c>
    </row>
    <row r="130" spans="1:3">
      <c r="A130" t="s">
        <v>184</v>
      </c>
      <c r="B130" t="s">
        <v>190</v>
      </c>
      <c r="C130" t="s">
        <v>191</v>
      </c>
    </row>
    <row r="131" spans="1:3">
      <c r="A131" t="s">
        <v>184</v>
      </c>
      <c r="B131" t="s">
        <v>696</v>
      </c>
      <c r="C131" t="s">
        <v>697</v>
      </c>
    </row>
    <row r="132" spans="1:3">
      <c r="A132" t="s">
        <v>184</v>
      </c>
      <c r="B132" t="s">
        <v>698</v>
      </c>
      <c r="C132" t="s">
        <v>699</v>
      </c>
    </row>
    <row r="134" spans="1:3" ht="21">
      <c r="A134" t="s">
        <v>195</v>
      </c>
      <c r="B134" s="1" t="s">
        <v>748</v>
      </c>
      <c r="C134" t="s">
        <v>749</v>
      </c>
    </row>
    <row r="135" spans="1:3">
      <c r="A135" t="s">
        <v>195</v>
      </c>
      <c r="B135" t="s">
        <v>750</v>
      </c>
      <c r="C135" t="s">
        <v>751</v>
      </c>
    </row>
    <row r="136" spans="1:3">
      <c r="A136" t="s">
        <v>195</v>
      </c>
      <c r="B136" t="s">
        <v>752</v>
      </c>
      <c r="C136" t="s">
        <v>753</v>
      </c>
    </row>
    <row r="137" spans="1:3">
      <c r="A137" t="s">
        <v>195</v>
      </c>
      <c r="B137" t="s">
        <v>194</v>
      </c>
      <c r="C137" t="s">
        <v>192</v>
      </c>
    </row>
    <row r="138" spans="1:3">
      <c r="A138" t="s">
        <v>195</v>
      </c>
      <c r="B138" t="s">
        <v>198</v>
      </c>
      <c r="C138" t="s">
        <v>199</v>
      </c>
    </row>
    <row r="139" spans="1:3">
      <c r="A139" t="s">
        <v>195</v>
      </c>
      <c r="B139" t="s">
        <v>754</v>
      </c>
      <c r="C139" t="s">
        <v>755</v>
      </c>
    </row>
    <row r="140" spans="1:3">
      <c r="A140" t="s">
        <v>195</v>
      </c>
      <c r="B140" t="s">
        <v>690</v>
      </c>
      <c r="C140" t="s">
        <v>691</v>
      </c>
    </row>
    <row r="141" spans="1:3">
      <c r="A141" t="s">
        <v>195</v>
      </c>
      <c r="B141" t="s">
        <v>692</v>
      </c>
      <c r="C141" t="s">
        <v>693</v>
      </c>
    </row>
    <row r="142" spans="1:3">
      <c r="A142" t="s">
        <v>195</v>
      </c>
      <c r="B142" t="s">
        <v>696</v>
      </c>
      <c r="C142" t="s">
        <v>697</v>
      </c>
    </row>
    <row r="143" spans="1:3">
      <c r="A143" t="s">
        <v>195</v>
      </c>
      <c r="B143" t="s">
        <v>698</v>
      </c>
      <c r="C143" t="s">
        <v>699</v>
      </c>
    </row>
    <row r="145" spans="1:3" ht="21">
      <c r="A145" t="s">
        <v>204</v>
      </c>
      <c r="B145" s="1" t="s">
        <v>756</v>
      </c>
      <c r="C145" t="s">
        <v>757</v>
      </c>
    </row>
    <row r="146" spans="1:3">
      <c r="A146" t="s">
        <v>204</v>
      </c>
      <c r="B146" t="s">
        <v>202</v>
      </c>
      <c r="C146" t="s">
        <v>203</v>
      </c>
    </row>
    <row r="147" spans="1:3">
      <c r="A147" t="s">
        <v>204</v>
      </c>
      <c r="B147" t="s">
        <v>758</v>
      </c>
      <c r="C147" t="s">
        <v>759</v>
      </c>
    </row>
    <row r="148" spans="1:3">
      <c r="A148" t="s">
        <v>204</v>
      </c>
      <c r="B148" t="s">
        <v>206</v>
      </c>
      <c r="C148" t="s">
        <v>207</v>
      </c>
    </row>
    <row r="149" spans="1:3">
      <c r="A149" t="s">
        <v>204</v>
      </c>
      <c r="B149" t="s">
        <v>208</v>
      </c>
      <c r="C149" t="s">
        <v>209</v>
      </c>
    </row>
    <row r="150" spans="1:3">
      <c r="A150" t="s">
        <v>204</v>
      </c>
      <c r="B150" t="s">
        <v>211</v>
      </c>
      <c r="C150" t="s">
        <v>212</v>
      </c>
    </row>
    <row r="151" spans="1:3">
      <c r="A151" t="s">
        <v>204</v>
      </c>
      <c r="B151" t="s">
        <v>690</v>
      </c>
      <c r="C151" t="s">
        <v>691</v>
      </c>
    </row>
    <row r="152" spans="1:3">
      <c r="A152" t="s">
        <v>204</v>
      </c>
      <c r="B152" t="s">
        <v>692</v>
      </c>
      <c r="C152" t="s">
        <v>693</v>
      </c>
    </row>
    <row r="153" spans="1:3">
      <c r="A153" t="s">
        <v>204</v>
      </c>
      <c r="B153" t="s">
        <v>760</v>
      </c>
      <c r="C153" t="s">
        <v>697</v>
      </c>
    </row>
    <row r="154" spans="1:3">
      <c r="A154" t="s">
        <v>204</v>
      </c>
      <c r="B154" t="s">
        <v>698</v>
      </c>
      <c r="C154" t="s">
        <v>699</v>
      </c>
    </row>
    <row r="156" spans="1:3" ht="21">
      <c r="A156" t="s">
        <v>217</v>
      </c>
      <c r="B156" s="1" t="s">
        <v>761</v>
      </c>
      <c r="C156" t="s">
        <v>762</v>
      </c>
    </row>
    <row r="157" spans="1:3">
      <c r="A157" t="s">
        <v>217</v>
      </c>
      <c r="B157" t="s">
        <v>215</v>
      </c>
      <c r="C157" t="s">
        <v>216</v>
      </c>
    </row>
    <row r="158" spans="1:3">
      <c r="A158" t="s">
        <v>217</v>
      </c>
      <c r="B158" t="s">
        <v>763</v>
      </c>
      <c r="C158" t="s">
        <v>764</v>
      </c>
    </row>
    <row r="159" spans="1:3">
      <c r="A159" t="s">
        <v>217</v>
      </c>
      <c r="B159" t="s">
        <v>690</v>
      </c>
      <c r="C159" t="s">
        <v>691</v>
      </c>
    </row>
    <row r="160" spans="1:3">
      <c r="A160" t="s">
        <v>217</v>
      </c>
      <c r="B160" t="s">
        <v>692</v>
      </c>
      <c r="C160" t="s">
        <v>693</v>
      </c>
    </row>
    <row r="161" spans="1:3">
      <c r="A161" t="s">
        <v>217</v>
      </c>
      <c r="B161" t="s">
        <v>219</v>
      </c>
      <c r="C161" t="s">
        <v>220</v>
      </c>
    </row>
    <row r="162" spans="1:3">
      <c r="A162" t="s">
        <v>217</v>
      </c>
      <c r="B162" t="s">
        <v>696</v>
      </c>
      <c r="C162" t="s">
        <v>697</v>
      </c>
    </row>
    <row r="163" spans="1:3">
      <c r="A163" t="s">
        <v>217</v>
      </c>
      <c r="B163" t="s">
        <v>698</v>
      </c>
      <c r="C163" t="s">
        <v>699</v>
      </c>
    </row>
    <row r="165" spans="1:3" ht="21">
      <c r="A165" t="s">
        <v>224</v>
      </c>
      <c r="B165" s="1" t="s">
        <v>765</v>
      </c>
      <c r="C165" t="s">
        <v>223</v>
      </c>
    </row>
    <row r="166" spans="1:3">
      <c r="A166" t="s">
        <v>224</v>
      </c>
      <c r="B166" t="s">
        <v>226</v>
      </c>
      <c r="C166" t="s">
        <v>227</v>
      </c>
    </row>
    <row r="167" spans="1:3">
      <c r="A167" t="s">
        <v>224</v>
      </c>
      <c r="B167" t="s">
        <v>766</v>
      </c>
      <c r="C167" t="s">
        <v>767</v>
      </c>
    </row>
    <row r="168" spans="1:3">
      <c r="A168" t="s">
        <v>224</v>
      </c>
      <c r="B168" t="s">
        <v>768</v>
      </c>
      <c r="C168" t="s">
        <v>769</v>
      </c>
    </row>
    <row r="169" spans="1:3">
      <c r="A169" t="s">
        <v>224</v>
      </c>
      <c r="B169" t="s">
        <v>228</v>
      </c>
      <c r="C169" t="s">
        <v>229</v>
      </c>
    </row>
    <row r="170" spans="1:3">
      <c r="A170" t="s">
        <v>224</v>
      </c>
      <c r="B170" t="s">
        <v>770</v>
      </c>
      <c r="C170" t="s">
        <v>771</v>
      </c>
    </row>
    <row r="171" spans="1:3">
      <c r="A171" t="s">
        <v>224</v>
      </c>
      <c r="B171" t="s">
        <v>231</v>
      </c>
      <c r="C171" t="s">
        <v>232</v>
      </c>
    </row>
    <row r="172" spans="1:3">
      <c r="A172" t="s">
        <v>224</v>
      </c>
      <c r="B172" t="s">
        <v>234</v>
      </c>
      <c r="C172" t="s">
        <v>235</v>
      </c>
    </row>
    <row r="173" spans="1:3">
      <c r="A173" t="s">
        <v>224</v>
      </c>
      <c r="B173" t="s">
        <v>772</v>
      </c>
      <c r="C173" t="s">
        <v>773</v>
      </c>
    </row>
    <row r="174" spans="1:3">
      <c r="A174" t="s">
        <v>224</v>
      </c>
      <c r="B174" t="s">
        <v>237</v>
      </c>
      <c r="C174" t="s">
        <v>238</v>
      </c>
    </row>
    <row r="175" spans="1:3">
      <c r="A175" t="s">
        <v>224</v>
      </c>
      <c r="B175" t="s">
        <v>696</v>
      </c>
      <c r="C175" t="s">
        <v>697</v>
      </c>
    </row>
    <row r="176" spans="1:3">
      <c r="A176" t="s">
        <v>224</v>
      </c>
      <c r="B176" t="s">
        <v>690</v>
      </c>
      <c r="C176" t="s">
        <v>691</v>
      </c>
    </row>
    <row r="177" spans="1:3">
      <c r="A177" t="s">
        <v>224</v>
      </c>
      <c r="B177" t="s">
        <v>692</v>
      </c>
      <c r="C177" t="s">
        <v>693</v>
      </c>
    </row>
    <row r="178" spans="1:3">
      <c r="A178" t="s">
        <v>224</v>
      </c>
      <c r="B178" t="s">
        <v>774</v>
      </c>
      <c r="C178" t="s">
        <v>775</v>
      </c>
    </row>
    <row r="179" spans="1:3">
      <c r="A179" t="s">
        <v>224</v>
      </c>
      <c r="B179" t="s">
        <v>240</v>
      </c>
      <c r="C179" t="s">
        <v>241</v>
      </c>
    </row>
    <row r="180" spans="1:3">
      <c r="A180" t="s">
        <v>224</v>
      </c>
      <c r="B180" t="s">
        <v>698</v>
      </c>
      <c r="C180" t="s">
        <v>699</v>
      </c>
    </row>
    <row r="182" spans="1:3" ht="21">
      <c r="A182" t="s">
        <v>245</v>
      </c>
      <c r="B182" s="1" t="s">
        <v>776</v>
      </c>
    </row>
    <row r="183" spans="1:3">
      <c r="A183" t="s">
        <v>245</v>
      </c>
      <c r="B183" t="s">
        <v>777</v>
      </c>
      <c r="C183" t="s">
        <v>778</v>
      </c>
    </row>
    <row r="184" spans="1:3">
      <c r="A184" t="s">
        <v>245</v>
      </c>
      <c r="B184" t="s">
        <v>690</v>
      </c>
      <c r="C184" t="s">
        <v>691</v>
      </c>
    </row>
    <row r="185" spans="1:3">
      <c r="A185" t="s">
        <v>245</v>
      </c>
      <c r="B185" t="s">
        <v>692</v>
      </c>
      <c r="C185" t="s">
        <v>693</v>
      </c>
    </row>
    <row r="186" spans="1:3">
      <c r="A186" t="s">
        <v>245</v>
      </c>
      <c r="B186" t="s">
        <v>694</v>
      </c>
      <c r="C186" t="s">
        <v>695</v>
      </c>
    </row>
    <row r="187" spans="1:3">
      <c r="A187" t="s">
        <v>245</v>
      </c>
      <c r="B187" t="s">
        <v>243</v>
      </c>
      <c r="C187" t="s">
        <v>244</v>
      </c>
    </row>
    <row r="188" spans="1:3">
      <c r="A188" t="s">
        <v>245</v>
      </c>
      <c r="B188" t="s">
        <v>247</v>
      </c>
      <c r="C188" t="s">
        <v>148</v>
      </c>
    </row>
    <row r="189" spans="1:3">
      <c r="A189" t="s">
        <v>245</v>
      </c>
      <c r="B189" t="s">
        <v>248</v>
      </c>
      <c r="C189" t="s">
        <v>65</v>
      </c>
    </row>
    <row r="190" spans="1:3">
      <c r="A190" t="s">
        <v>245</v>
      </c>
      <c r="B190" t="s">
        <v>779</v>
      </c>
      <c r="C190" t="s">
        <v>780</v>
      </c>
    </row>
    <row r="191" spans="1:3">
      <c r="A191" t="s">
        <v>245</v>
      </c>
      <c r="B191" t="s">
        <v>781</v>
      </c>
      <c r="C191" t="s">
        <v>782</v>
      </c>
    </row>
    <row r="192" spans="1:3">
      <c r="A192" t="s">
        <v>245</v>
      </c>
      <c r="B192" t="s">
        <v>249</v>
      </c>
      <c r="C192" t="s">
        <v>706</v>
      </c>
    </row>
    <row r="193" spans="1:3">
      <c r="A193" t="s">
        <v>245</v>
      </c>
      <c r="B193" t="s">
        <v>783</v>
      </c>
      <c r="C193" t="s">
        <v>784</v>
      </c>
    </row>
    <row r="194" spans="1:3">
      <c r="A194" t="s">
        <v>245</v>
      </c>
      <c r="B194" t="s">
        <v>250</v>
      </c>
      <c r="C194" t="s">
        <v>251</v>
      </c>
    </row>
    <row r="195" spans="1:3">
      <c r="A195" t="s">
        <v>245</v>
      </c>
      <c r="B195" t="s">
        <v>252</v>
      </c>
      <c r="C195" t="s">
        <v>253</v>
      </c>
    </row>
    <row r="196" spans="1:3">
      <c r="A196" t="s">
        <v>245</v>
      </c>
      <c r="B196" t="s">
        <v>254</v>
      </c>
      <c r="C196" t="s">
        <v>255</v>
      </c>
    </row>
    <row r="197" spans="1:3">
      <c r="A197" t="s">
        <v>245</v>
      </c>
      <c r="B197" t="s">
        <v>785</v>
      </c>
      <c r="C197" t="s">
        <v>786</v>
      </c>
    </row>
    <row r="198" spans="1:3">
      <c r="A198" t="s">
        <v>245</v>
      </c>
      <c r="B198" t="s">
        <v>696</v>
      </c>
      <c r="C198" t="s">
        <v>697</v>
      </c>
    </row>
    <row r="199" spans="1:3">
      <c r="A199" t="s">
        <v>245</v>
      </c>
      <c r="B199" t="s">
        <v>698</v>
      </c>
      <c r="C199" t="s">
        <v>699</v>
      </c>
    </row>
    <row r="201" spans="1:3" ht="21">
      <c r="A201" t="s">
        <v>258</v>
      </c>
      <c r="B201" s="1" t="s">
        <v>787</v>
      </c>
      <c r="C201" t="s">
        <v>159</v>
      </c>
    </row>
    <row r="202" spans="1:3">
      <c r="A202" t="s">
        <v>258</v>
      </c>
      <c r="B202" t="s">
        <v>261</v>
      </c>
      <c r="C202" t="s">
        <v>262</v>
      </c>
    </row>
    <row r="203" spans="1:3">
      <c r="A203" t="s">
        <v>258</v>
      </c>
      <c r="B203" t="s">
        <v>788</v>
      </c>
      <c r="C203" t="s">
        <v>789</v>
      </c>
    </row>
    <row r="204" spans="1:3">
      <c r="A204" t="s">
        <v>258</v>
      </c>
      <c r="B204" t="s">
        <v>263</v>
      </c>
      <c r="C204" t="s">
        <v>264</v>
      </c>
    </row>
    <row r="205" spans="1:3">
      <c r="A205" t="s">
        <v>258</v>
      </c>
      <c r="B205" t="s">
        <v>690</v>
      </c>
      <c r="C205" t="s">
        <v>691</v>
      </c>
    </row>
    <row r="206" spans="1:3">
      <c r="A206" t="s">
        <v>258</v>
      </c>
      <c r="B206" t="s">
        <v>692</v>
      </c>
      <c r="C206" t="s">
        <v>693</v>
      </c>
    </row>
    <row r="207" spans="1:3">
      <c r="A207" t="s">
        <v>258</v>
      </c>
      <c r="B207" t="s">
        <v>694</v>
      </c>
      <c r="C207" t="s">
        <v>695</v>
      </c>
    </row>
    <row r="208" spans="1:3">
      <c r="A208" t="s">
        <v>258</v>
      </c>
      <c r="B208" t="s">
        <v>696</v>
      </c>
      <c r="C208" t="s">
        <v>697</v>
      </c>
    </row>
    <row r="209" spans="1:3">
      <c r="A209" t="s">
        <v>258</v>
      </c>
      <c r="B209" t="s">
        <v>790</v>
      </c>
      <c r="C209" t="s">
        <v>699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BBB0-352F-4B31-8AA4-6F04EA9D9EAD}">
  <dimension ref="A1:B15"/>
  <sheetViews>
    <sheetView workbookViewId="0">
      <selection activeCell="E12" sqref="E12"/>
    </sheetView>
  </sheetViews>
  <sheetFormatPr defaultRowHeight="15"/>
  <cols>
    <col min="1" max="1" width="30.85546875" customWidth="1"/>
    <col min="2" max="2" width="30.5703125" customWidth="1"/>
  </cols>
  <sheetData>
    <row r="1" spans="1:2">
      <c r="A1" s="2" t="s">
        <v>266</v>
      </c>
      <c r="B1" s="2" t="s">
        <v>5</v>
      </c>
    </row>
    <row r="2" spans="1:2">
      <c r="A2" t="s">
        <v>685</v>
      </c>
      <c r="B2" t="s">
        <v>791</v>
      </c>
    </row>
    <row r="3" spans="1:2">
      <c r="A3" t="s">
        <v>34</v>
      </c>
      <c r="B3" t="s">
        <v>792</v>
      </c>
    </row>
    <row r="4" spans="1:2">
      <c r="A4" t="s">
        <v>55</v>
      </c>
      <c r="B4" t="s">
        <v>793</v>
      </c>
    </row>
    <row r="5" spans="1:2">
      <c r="A5" t="s">
        <v>95</v>
      </c>
      <c r="B5" t="s">
        <v>794</v>
      </c>
    </row>
    <row r="6" spans="1:2">
      <c r="A6" t="s">
        <v>128</v>
      </c>
      <c r="B6" t="s">
        <v>795</v>
      </c>
    </row>
    <row r="7" spans="1:2">
      <c r="A7" t="s">
        <v>160</v>
      </c>
      <c r="B7" t="s">
        <v>796</v>
      </c>
    </row>
    <row r="8" spans="1:2">
      <c r="A8" t="s">
        <v>173</v>
      </c>
      <c r="B8" t="s">
        <v>797</v>
      </c>
    </row>
    <row r="9" spans="1:2">
      <c r="A9" t="s">
        <v>184</v>
      </c>
      <c r="B9" t="s">
        <v>798</v>
      </c>
    </row>
    <row r="10" spans="1:2">
      <c r="A10" t="s">
        <v>195</v>
      </c>
      <c r="B10" t="s">
        <v>799</v>
      </c>
    </row>
    <row r="11" spans="1:2">
      <c r="A11" t="s">
        <v>204</v>
      </c>
      <c r="B11" t="s">
        <v>800</v>
      </c>
    </row>
    <row r="12" spans="1:2">
      <c r="A12" t="s">
        <v>217</v>
      </c>
      <c r="B12" t="s">
        <v>801</v>
      </c>
    </row>
    <row r="13" spans="1:2">
      <c r="A13" t="s">
        <v>224</v>
      </c>
      <c r="B13" t="s">
        <v>802</v>
      </c>
    </row>
    <row r="14" spans="1:2">
      <c r="A14" t="s">
        <v>245</v>
      </c>
      <c r="B14" t="s">
        <v>803</v>
      </c>
    </row>
    <row r="15" spans="1:2">
      <c r="A15" t="s">
        <v>258</v>
      </c>
      <c r="B15" t="s">
        <v>804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CA144D43C8942AC8F9048CECA5E0A" ma:contentTypeVersion="16" ma:contentTypeDescription="Create a new document." ma:contentTypeScope="" ma:versionID="6e230c1eddb72829e54ebcae03fd3563">
  <xsd:schema xmlns:xsd="http://www.w3.org/2001/XMLSchema" xmlns:xs="http://www.w3.org/2001/XMLSchema" xmlns:p="http://schemas.microsoft.com/office/2006/metadata/properties" xmlns:ns2="c8b6f0a2-5848-43bc-b6bf-c16d51a32126" xmlns:ns3="3767491f-3169-40ab-b519-f6da36c7a448" targetNamespace="http://schemas.microsoft.com/office/2006/metadata/properties" ma:root="true" ma:fieldsID="4bbf52e1f23044f997654ed7b98e4598" ns2:_="" ns3:_="">
    <xsd:import namespace="c8b6f0a2-5848-43bc-b6bf-c16d51a32126"/>
    <xsd:import namespace="3767491f-3169-40ab-b519-f6da36c7a4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f0a2-5848-43bc-b6bf-c16d51a321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a27f011-1a9c-4bbb-bffd-f61e666ec8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67491f-3169-40ab-b519-f6da36c7a44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52efc34-17dc-4e58-9995-44745a59d087}" ma:internalName="TaxCatchAll" ma:showField="CatchAllData" ma:web="3767491f-3169-40ab-b519-f6da36c7a4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b6f0a2-5848-43bc-b6bf-c16d51a32126">
      <Terms xmlns="http://schemas.microsoft.com/office/infopath/2007/PartnerControls"/>
    </lcf76f155ced4ddcb4097134ff3c332f>
    <TaxCatchAll xmlns="3767491f-3169-40ab-b519-f6da36c7a448" xsi:nil="true"/>
  </documentManagement>
</p:properties>
</file>

<file path=customXml/itemProps1.xml><?xml version="1.0" encoding="utf-8"?>
<ds:datastoreItem xmlns:ds="http://schemas.openxmlformats.org/officeDocument/2006/customXml" ds:itemID="{DE11F16C-2037-4FC8-9BBF-6DD7CF22BCB1}"/>
</file>

<file path=customXml/itemProps2.xml><?xml version="1.0" encoding="utf-8"?>
<ds:datastoreItem xmlns:ds="http://schemas.openxmlformats.org/officeDocument/2006/customXml" ds:itemID="{7AACB9CF-5355-424B-B370-9F3B7745F8A6}"/>
</file>

<file path=customXml/itemProps3.xml><?xml version="1.0" encoding="utf-8"?>
<ds:datastoreItem xmlns:ds="http://schemas.openxmlformats.org/officeDocument/2006/customXml" ds:itemID="{DBD89328-9977-4852-81DB-1566FC2FFD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2024-11-12T14:15:31Z</dcterms:created>
  <dcterms:modified xsi:type="dcterms:W3CDTF">2025-10-26T18:22:47Z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0x010100AFCCA144D43C8942AC8F9048CECA5E0A</vt:lpwstr>
  </property>
  <property fmtid="{D5CDD505-2E9C-101B-9397-08002B2CF9AE}" pid="3" name="MediaServiceImageTags">
    <vt:lpwstr/>
  </property>
</Properties>
</file>